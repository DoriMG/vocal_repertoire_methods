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ijseels\Downloads\vocal_repertoire_methods-main\vocal_repertoire_methods-main\figures\data\"/>
    </mc:Choice>
  </mc:AlternateContent>
  <xr:revisionPtr revIDLastSave="0" documentId="13_ncr:1_{4D5BC86F-2978-4154-BAC2-D7ACE2FCB831}" xr6:coauthVersionLast="47" xr6:coauthVersionMax="47" xr10:uidLastSave="{00000000-0000-0000-0000-000000000000}"/>
  <bookViews>
    <workbookView xWindow="-120" yWindow="-120" windowWidth="29040" windowHeight="17520" xr2:uid="{EDBFA2E6-E322-4C98-9DC6-EF74959F0D4C}"/>
  </bookViews>
  <sheets>
    <sheet name="methods_included (2)" sheetId="3" r:id="rId1"/>
    <sheet name="methods_included" sheetId="2" r:id="rId2"/>
    <sheet name="Sheet1" sheetId="1" r:id="rId3"/>
  </sheets>
  <definedNames>
    <definedName name="ExternalData_1" localSheetId="1" hidden="1">methods_included!$A$1:$D$107</definedName>
    <definedName name="ExternalData_2" localSheetId="0" hidden="1">'methods_included (2)'!$A$1:$E$107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09" i="3" l="1"/>
  <c r="J108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D108" i="3"/>
  <c r="D109" i="3" s="1"/>
  <c r="E108" i="3"/>
  <c r="E109" i="3" s="1"/>
  <c r="F108" i="3"/>
  <c r="F109" i="3" s="1"/>
  <c r="G108" i="3"/>
  <c r="G109" i="3" s="1"/>
  <c r="H108" i="3"/>
  <c r="H109" i="3" s="1"/>
  <c r="I108" i="3"/>
  <c r="I109" i="3" s="1"/>
  <c r="C108" i="3"/>
  <c r="C109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D2AE88-42A2-493D-A47F-389DB35EA2B1}" keepAlive="1" name="Query - methods_included" description="Connection to the 'methods_included' query in the workbook." type="5" refreshedVersion="8" background="1" saveData="1">
    <dbPr connection="Provider=Microsoft.Mashup.OleDb.1;Data Source=$Workbook$;Location=methods_included;Extended Properties=&quot;&quot;" command="SELECT * FROM [methods_included]"/>
  </connection>
  <connection id="2" xr16:uid="{A5A0A5FA-12DD-486C-AFFA-995B6BE1B0A4}" keepAlive="1" name="Query - methods_included (2)" description="Connection to the 'methods_included (2)' query in the workbook." type="5" refreshedVersion="8" background="1" saveData="1">
    <dbPr connection="Provider=Microsoft.Mashup.OleDb.1;Data Source=$Workbook$;Location=&quot;methods_included (2)&quot;;Extended Properties=&quot;&quot;" command="SELECT * FROM [methods_included (2)]"/>
  </connection>
</connections>
</file>

<file path=xl/sharedStrings.xml><?xml version="1.0" encoding="utf-8"?>
<sst xmlns="http://schemas.openxmlformats.org/spreadsheetml/2006/main" count="332" uniqueCount="168">
  <si>
    <t>Rayyan ID</t>
  </si>
  <si>
    <t>clustering</t>
  </si>
  <si>
    <t>DFA</t>
  </si>
  <si>
    <t>MDS</t>
  </si>
  <si>
    <t>rayyan-305067170</t>
  </si>
  <si>
    <t>rayyan-305067742</t>
  </si>
  <si>
    <t>rayyan-305067080</t>
  </si>
  <si>
    <t>rayyan-305067090</t>
  </si>
  <si>
    <t>rayyan-305067091</t>
  </si>
  <si>
    <t>rayyan-305067094</t>
  </si>
  <si>
    <t>rayyan-305067095</t>
  </si>
  <si>
    <t>rayyan-305067097</t>
  </si>
  <si>
    <t>rayyan-305067099</t>
  </si>
  <si>
    <t>rayyan-305067104</t>
  </si>
  <si>
    <t>rayyan-305067116</t>
  </si>
  <si>
    <t>rayyan-305067163</t>
  </si>
  <si>
    <t>rayyan-305067190</t>
  </si>
  <si>
    <t>rayyan-305067201</t>
  </si>
  <si>
    <t>rayyan-305067210</t>
  </si>
  <si>
    <t>rayyan-305067231</t>
  </si>
  <si>
    <t>rayyan-305067281</t>
  </si>
  <si>
    <t>rayyan-305067326</t>
  </si>
  <si>
    <t>rayyan-305067332</t>
  </si>
  <si>
    <t>rayyan-305067337</t>
  </si>
  <si>
    <t>rayyan-305067339</t>
  </si>
  <si>
    <t>rayyan-305067386</t>
  </si>
  <si>
    <t>rayyan-305067394</t>
  </si>
  <si>
    <t>rayyan-305067514</t>
  </si>
  <si>
    <t>rayyan-305067532</t>
  </si>
  <si>
    <t>rayyan-305067679</t>
  </si>
  <si>
    <t>rayyan-305067770</t>
  </si>
  <si>
    <t>rayyan-305068102</t>
  </si>
  <si>
    <t>rayyan-380414578</t>
  </si>
  <si>
    <t>rayyan-380414579</t>
  </si>
  <si>
    <t>rayyan-380414581</t>
  </si>
  <si>
    <t>rayyan-380414583</t>
  </si>
  <si>
    <t>rayyan-380414588</t>
  </si>
  <si>
    <t>rayyan-380414589</t>
  </si>
  <si>
    <t>rayyan-380414611</t>
  </si>
  <si>
    <t>rayyan-380414613</t>
  </si>
  <si>
    <t>rayyan-380414636</t>
  </si>
  <si>
    <t>rayyan-380414646</t>
  </si>
  <si>
    <t>rayyan-380414654</t>
  </si>
  <si>
    <t>rayyan-380414655</t>
  </si>
  <si>
    <t>rayyan-380414661</t>
  </si>
  <si>
    <t>rayyan-380414683</t>
  </si>
  <si>
    <t>rayyan-380414740</t>
  </si>
  <si>
    <t>rayyan-380414751</t>
  </si>
  <si>
    <t>rayyan-380414770</t>
  </si>
  <si>
    <t>rayyan-380414797</t>
  </si>
  <si>
    <t>rayyan-380414800</t>
  </si>
  <si>
    <t>rayyan-380414801</t>
  </si>
  <si>
    <t>rayyan-305067471</t>
  </si>
  <si>
    <t>rayyan-380414771</t>
  </si>
  <si>
    <t>rayyan-305067096</t>
  </si>
  <si>
    <t>rayyan-305067102</t>
  </si>
  <si>
    <t>rayyan-305067117</t>
  </si>
  <si>
    <t>rayyan-305067126</t>
  </si>
  <si>
    <t>rayyan-305067392</t>
  </si>
  <si>
    <t>rayyan-305067081</t>
  </si>
  <si>
    <t>rayyan-305067127</t>
  </si>
  <si>
    <t>rayyan-305067139</t>
  </si>
  <si>
    <t>rayyan-305067149</t>
  </si>
  <si>
    <t>rayyan-305067158</t>
  </si>
  <si>
    <t>rayyan-305067169</t>
  </si>
  <si>
    <t>rayyan-305067179</t>
  </si>
  <si>
    <t>rayyan-305067202</t>
  </si>
  <si>
    <t>rayyan-305067253</t>
  </si>
  <si>
    <t>rayyan-305067318</t>
  </si>
  <si>
    <t>rayyan-305067342</t>
  </si>
  <si>
    <t>rayyan-305067355</t>
  </si>
  <si>
    <t>rayyan-305067372</t>
  </si>
  <si>
    <t>rayyan-305067430</t>
  </si>
  <si>
    <t>rayyan-305067516</t>
  </si>
  <si>
    <t>rayyan-305067603</t>
  </si>
  <si>
    <t>rayyan-305067862</t>
  </si>
  <si>
    <t>rayyan-308549144</t>
  </si>
  <si>
    <t>rayyan-380414577</t>
  </si>
  <si>
    <t>rayyan-380414608</t>
  </si>
  <si>
    <t>rayyan-380414610</t>
  </si>
  <si>
    <t>rayyan-380414612</t>
  </si>
  <si>
    <t>rayyan-380414615</t>
  </si>
  <si>
    <t>rayyan-380414623</t>
  </si>
  <si>
    <t>rayyan-380414634</t>
  </si>
  <si>
    <t>rayyan-380414648</t>
  </si>
  <si>
    <t>rayyan-380414649</t>
  </si>
  <si>
    <t>rayyan-380414679</t>
  </si>
  <si>
    <t>rayyan-380414692</t>
  </si>
  <si>
    <t>rayyan-380414713</t>
  </si>
  <si>
    <t>rayyan-380414725</t>
  </si>
  <si>
    <t>rayyan-380414727</t>
  </si>
  <si>
    <t>rayyan-380414783</t>
  </si>
  <si>
    <t>rayyan-380414805</t>
  </si>
  <si>
    <t>rayyan-305067161</t>
  </si>
  <si>
    <t>rayyan-305067259</t>
  </si>
  <si>
    <t>rayyan-305067312</t>
  </si>
  <si>
    <t>rayyan-305067419</t>
  </si>
  <si>
    <t>rayyan-305067748</t>
  </si>
  <si>
    <t>rayyan-305067789</t>
  </si>
  <si>
    <t>rayyan-380414576</t>
  </si>
  <si>
    <t>rayyan-380414596</t>
  </si>
  <si>
    <t>rayyan-380414597</t>
  </si>
  <si>
    <t>rayyan-380414614</t>
  </si>
  <si>
    <t>rayyan-380414637</t>
  </si>
  <si>
    <t>rayyan-380414642</t>
  </si>
  <si>
    <t>rayyan-380414657</t>
  </si>
  <si>
    <t>rayyan-380414662</t>
  </si>
  <si>
    <t>rayyan-380414673</t>
  </si>
  <si>
    <t>rayyan-305067467</t>
  </si>
  <si>
    <t>rayyan-380414723</t>
  </si>
  <si>
    <t>methods</t>
  </si>
  <si>
    <t>LDA</t>
  </si>
  <si>
    <t>hierarchical cluster analysis</t>
  </si>
  <si>
    <t>DFA, PCA, NbClust</t>
  </si>
  <si>
    <t>LDA, PERMANOVA, PCoA</t>
  </si>
  <si>
    <t>DFA, PCA, LDA</t>
  </si>
  <si>
    <t>LDA, Random Forest</t>
  </si>
  <si>
    <t>DFA, agglomerative hierarchical clustering, LMM</t>
  </si>
  <si>
    <t>DFA, two-step clustering</t>
  </si>
  <si>
    <t>DFA, PCA, agglomerative hierarchical clustering</t>
  </si>
  <si>
    <t>DFA, PCA, hierarchical clustering</t>
  </si>
  <si>
    <t>DFA, PCA</t>
  </si>
  <si>
    <t>LDA, linear predictive coding</t>
  </si>
  <si>
    <t>LDA, K-means clustering, MDS</t>
  </si>
  <si>
    <t>PCA, two-step clustering</t>
  </si>
  <si>
    <t>UPGMA</t>
  </si>
  <si>
    <t>DFA, PCA, GMM</t>
  </si>
  <si>
    <t>t-SNE; multi-layer perceptron</t>
  </si>
  <si>
    <t>Partitioning Around Medoids (PAM) clustering</t>
  </si>
  <si>
    <t>DFA, agglomerative hierarchical clustering</t>
  </si>
  <si>
    <t>K-means clustering, fuzzy c-means; hierarchical clustering</t>
  </si>
  <si>
    <t>PCA, two-step clustering, K-means clustering</t>
  </si>
  <si>
    <t>MCLUST</t>
  </si>
  <si>
    <t>PCA</t>
  </si>
  <si>
    <t>two-step clustering</t>
  </si>
  <si>
    <t>multinomial regression analysis</t>
  </si>
  <si>
    <t>UPGMA cluster analysis; matrix correlation</t>
  </si>
  <si>
    <t>CNN, UMAP, SHAP</t>
  </si>
  <si>
    <t>DFA, PCA, silhouette clustering, agglomerative hierarchical clustering</t>
  </si>
  <si>
    <t>Multidimensional scaling</t>
  </si>
  <si>
    <t>DFA, K-means clustering, ANN</t>
  </si>
  <si>
    <t>DFA, PCA, UMAP, hierarchical agglomerative clustering</t>
  </si>
  <si>
    <t>K-means clustering</t>
  </si>
  <si>
    <t>SVM</t>
  </si>
  <si>
    <t>UMAP, SVM, affinity propagation, C-means fuzzy clustering</t>
  </si>
  <si>
    <t>GMM clustering, VAE</t>
  </si>
  <si>
    <t>PCA, MDS</t>
  </si>
  <si>
    <t>K-means clustering, DBSCAN</t>
  </si>
  <si>
    <t>ANOSIM, MDS</t>
  </si>
  <si>
    <t>UMAP, Fuzzy c-means clustering</t>
  </si>
  <si>
    <t>DFA, k-medians clustering</t>
  </si>
  <si>
    <t>cluster analysis</t>
  </si>
  <si>
    <t>DFA, MDS</t>
  </si>
  <si>
    <t>PCA, Classification and regression tree analysis (CART)</t>
  </si>
  <si>
    <t>Gaussian mixture models</t>
  </si>
  <si>
    <t>Multidimensional Scaling</t>
  </si>
  <si>
    <t>Hierarchical clustering</t>
  </si>
  <si>
    <t>DFA, UMAP, SVM; xgboost; NN</t>
  </si>
  <si>
    <t>DFA, K-means clustering</t>
  </si>
  <si>
    <t>multi-dimensional scaling</t>
  </si>
  <si>
    <t>pDFA</t>
  </si>
  <si>
    <t>Markov Model</t>
  </si>
  <si>
    <t>DFA, MANOVA</t>
  </si>
  <si>
    <t>K-means clustering, regional convolutional neural network</t>
  </si>
  <si>
    <t>Column1</t>
  </si>
  <si>
    <t>Classifier</t>
  </si>
  <si>
    <t>Dimensionality reduction</t>
  </si>
  <si>
    <t>Neural 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</si>
</sst>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C252B98-CBAA-44C7-A80E-3A38C1BCD67E}" autoFormatId="16" applyNumberFormats="0" applyBorderFormats="0" applyFontFormats="0" applyPatternFormats="0" applyAlignmentFormats="0" applyWidthHeightFormats="0">
  <queryTableRefresh nextId="11" unboundColumnsRight="5">
    <queryTableFields count="10">
      <queryTableField id="1" name="Rayyan ID" tableColumnId="1"/>
      <queryTableField id="2" name="methods" tableColumnId="2"/>
      <queryTableField id="3" name="clustering" tableColumnId="3"/>
      <queryTableField id="4" name="DFA" tableColumnId="4"/>
      <queryTableField id="5" name="MDS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E844DA3-1844-4B09-A4D9-EB227ADEDB79}" autoFormatId="16" applyNumberFormats="0" applyBorderFormats="0" applyFontFormats="0" applyPatternFormats="0" applyAlignmentFormats="0" applyWidthHeightFormats="0">
  <queryTableRefresh nextId="5">
    <queryTableFields count="4">
      <queryTableField id="1" name="Rayyan ID" tableColumnId="1"/>
      <queryTableField id="2" name="clustering" tableColumnId="2"/>
      <queryTableField id="3" name="DFA" tableColumnId="3"/>
      <queryTableField id="4" name="MD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8651FC-8CC9-45DA-88A3-B3C6C6B4415E}" name="methods_included__2" displayName="methods_included__2" ref="A1:J108" tableType="queryTable" totalsRowCount="1">
  <autoFilter ref="A1:J107" xr:uid="{9E8651FC-8CC9-45DA-88A3-B3C6C6B4415E}"/>
  <tableColumns count="10">
    <tableColumn id="1" xr3:uid="{040A938E-F1B3-422B-80E3-63965BA3D30C}" uniqueName="1" name="Rayyan ID" queryTableFieldId="1" dataDxfId="4" totalsRowDxfId="1"/>
    <tableColumn id="2" xr3:uid="{BD0CEB9B-7438-4521-988C-615A09E9B27D}" uniqueName="2" name="methods" queryTableFieldId="2" dataDxfId="3" totalsRowDxfId="0"/>
    <tableColumn id="3" xr3:uid="{E382C083-E6D3-48E0-8A68-6DE7B951B3C2}" uniqueName="3" name="clustering" totalsRowFunction="custom" queryTableFieldId="3">
      <totalsRowFormula>SUM(methods_included__2[clustering])</totalsRowFormula>
    </tableColumn>
    <tableColumn id="4" xr3:uid="{E3B78142-EB3A-4D8B-9A25-EC9DD856D069}" uniqueName="4" name="DFA" totalsRowFunction="custom" queryTableFieldId="4">
      <totalsRowFormula>SUM(methods_included__2[DFA])</totalsRowFormula>
    </tableColumn>
    <tableColumn id="5" xr3:uid="{410FE71A-3023-40D3-B1D7-8D58F57E8CAB}" uniqueName="5" name="MDS" totalsRowFunction="custom" queryTableFieldId="5">
      <totalsRowFormula>SUM(methods_included__2[MDS])</totalsRowFormula>
    </tableColumn>
    <tableColumn id="6" xr3:uid="{7714AD8C-FC91-42ED-BCD0-153006A8870D}" uniqueName="6" name="PCA" totalsRowFunction="custom" queryTableFieldId="6">
      <totalsRowFormula>SUM(methods_included__2[PCA])</totalsRowFormula>
    </tableColumn>
    <tableColumn id="7" xr3:uid="{78AB84BF-9A7C-4B8A-8E0C-1852A6CF3FD9}" uniqueName="7" name="Classifier" totalsRowFunction="custom" queryTableFieldId="7">
      <totalsRowFormula>SUM(methods_included__2[Classifier])</totalsRowFormula>
    </tableColumn>
    <tableColumn id="8" xr3:uid="{F8564127-0A16-4A41-A0B0-B72B8C40B80D}" uniqueName="8" name="Dimensionality reduction" totalsRowFunction="custom" queryTableFieldId="8">
      <totalsRowFormula>SUM(methods_included__2[Dimensionality reduction])</totalsRowFormula>
    </tableColumn>
    <tableColumn id="9" xr3:uid="{812A87EC-F14D-425A-B802-2C38A6BB16CB}" uniqueName="9" name="Neural Network" totalsRowFunction="custom" queryTableFieldId="9">
      <totalsRowFormula>SUM(methods_included__2[Neural Network])</totalsRowFormula>
    </tableColumn>
    <tableColumn id="10" xr3:uid="{BE9CAFEF-A8A9-4534-8B5D-BFD1F15F9EE7}" uniqueName="10" name="Column1" totalsRowFunction="custom" queryTableFieldId="10" dataDxfId="2">
      <calculatedColumnFormula>OR(methods_included__2[[#This Row],[MDS]],methods_included__2[[#This Row],[PCA]],methods_included__2[[#This Row],[Dimensionality reduction]])</calculatedColumnFormula>
      <totalsRowFormula>COUNTIF(methods_included__2[Column1], TRUE)</totalsRow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280D70-4D78-451B-ACAD-A77BB1BF2B4C}" name="methods_included" displayName="methods_included" ref="A1:D107" tableType="queryTable" totalsRowShown="0">
  <autoFilter ref="A1:D107" xr:uid="{BC280D70-4D78-451B-ACAD-A77BB1BF2B4C}"/>
  <tableColumns count="4">
    <tableColumn id="1" xr3:uid="{2774BA3C-4686-4077-BF85-7B8BBE6F6C31}" uniqueName="1" name="Rayyan ID" queryTableFieldId="1" dataDxfId="5"/>
    <tableColumn id="2" xr3:uid="{63581FCF-1588-4973-9D2A-518F50FFC2F7}" uniqueName="2" name="clustering" queryTableFieldId="2"/>
    <tableColumn id="3" xr3:uid="{0B675D1C-F4CD-4A81-A2DA-C9D2967593E2}" uniqueName="3" name="DFA" queryTableFieldId="3"/>
    <tableColumn id="4" xr3:uid="{7006F558-4FF7-4D9C-9EED-F18403334F58}" uniqueName="4" name="MD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7144A-29E8-4C3B-9747-52812E0E2CAC}">
  <dimension ref="A1:J109"/>
  <sheetViews>
    <sheetView tabSelected="1" workbookViewId="0">
      <pane ySplit="1" topLeftCell="A83" activePane="bottomLeft" state="frozen"/>
      <selection pane="bottomLeft" activeCell="I62" sqref="I62"/>
    </sheetView>
  </sheetViews>
  <sheetFormatPr defaultRowHeight="15" x14ac:dyDescent="0.25"/>
  <cols>
    <col min="1" max="1" width="16.7109375" bestFit="1" customWidth="1"/>
    <col min="2" max="2" width="63.28515625" bestFit="1" customWidth="1"/>
    <col min="3" max="3" width="12.28515625" bestFit="1" customWidth="1"/>
    <col min="4" max="4" width="6.85546875" bestFit="1" customWidth="1"/>
    <col min="5" max="5" width="7.42578125" bestFit="1" customWidth="1"/>
  </cols>
  <sheetData>
    <row r="1" spans="1:10" x14ac:dyDescent="0.25">
      <c r="A1" t="s">
        <v>0</v>
      </c>
      <c r="B1" t="s">
        <v>110</v>
      </c>
      <c r="C1" t="s">
        <v>1</v>
      </c>
      <c r="D1" t="s">
        <v>2</v>
      </c>
      <c r="E1" t="s">
        <v>3</v>
      </c>
      <c r="F1" t="s">
        <v>133</v>
      </c>
      <c r="G1" t="s">
        <v>165</v>
      </c>
      <c r="H1" t="s">
        <v>166</v>
      </c>
      <c r="I1" t="s">
        <v>167</v>
      </c>
      <c r="J1" t="s">
        <v>164</v>
      </c>
    </row>
    <row r="2" spans="1:10" x14ac:dyDescent="0.25">
      <c r="A2" s="1" t="s">
        <v>4</v>
      </c>
      <c r="B2" s="1" t="s">
        <v>111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 t="b">
        <f>OR(methods_included__2[[#This Row],[MDS]],methods_included__2[[#This Row],[PCA]],methods_included__2[[#This Row],[Dimensionality reduction]])</f>
        <v>0</v>
      </c>
    </row>
    <row r="3" spans="1:10" x14ac:dyDescent="0.25">
      <c r="A3" s="1" t="s">
        <v>5</v>
      </c>
      <c r="B3" s="1" t="s">
        <v>112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b">
        <f>OR(methods_included__2[[#This Row],[MDS]],methods_included__2[[#This Row],[PCA]],methods_included__2[[#This Row],[Dimensionality reduction]])</f>
        <v>0</v>
      </c>
    </row>
    <row r="4" spans="1:10" x14ac:dyDescent="0.25">
      <c r="A4" s="1" t="s">
        <v>6</v>
      </c>
      <c r="B4" s="1" t="s">
        <v>2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 t="b">
        <f>OR(methods_included__2[[#This Row],[MDS]],methods_included__2[[#This Row],[PCA]],methods_included__2[[#This Row],[Dimensionality reduction]])</f>
        <v>0</v>
      </c>
    </row>
    <row r="5" spans="1:10" x14ac:dyDescent="0.25">
      <c r="A5" s="1" t="s">
        <v>7</v>
      </c>
      <c r="B5" s="1" t="s">
        <v>2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 t="b">
        <f>OR(methods_included__2[[#This Row],[MDS]],methods_included__2[[#This Row],[PCA]],methods_included__2[[#This Row],[Dimensionality reduction]])</f>
        <v>0</v>
      </c>
    </row>
    <row r="6" spans="1:10" x14ac:dyDescent="0.25">
      <c r="A6" s="1" t="s">
        <v>8</v>
      </c>
      <c r="B6" s="1" t="s">
        <v>113</v>
      </c>
      <c r="C6">
        <v>1</v>
      </c>
      <c r="D6">
        <v>1</v>
      </c>
      <c r="E6">
        <v>0</v>
      </c>
      <c r="F6">
        <v>1</v>
      </c>
      <c r="G6">
        <v>0</v>
      </c>
      <c r="H6">
        <v>0</v>
      </c>
      <c r="I6">
        <v>0</v>
      </c>
      <c r="J6" t="b">
        <f>OR(methods_included__2[[#This Row],[MDS]],methods_included__2[[#This Row],[PCA]],methods_included__2[[#This Row],[Dimensionality reduction]])</f>
        <v>1</v>
      </c>
    </row>
    <row r="7" spans="1:10" x14ac:dyDescent="0.25">
      <c r="A7" s="1" t="s">
        <v>9</v>
      </c>
      <c r="B7" s="1" t="s">
        <v>114</v>
      </c>
      <c r="C7">
        <v>0</v>
      </c>
      <c r="D7">
        <v>1</v>
      </c>
      <c r="E7">
        <v>0</v>
      </c>
      <c r="F7">
        <v>1</v>
      </c>
      <c r="G7">
        <v>0</v>
      </c>
      <c r="H7">
        <v>0</v>
      </c>
      <c r="I7">
        <v>0</v>
      </c>
      <c r="J7" t="b">
        <f>OR(methods_included__2[[#This Row],[MDS]],methods_included__2[[#This Row],[PCA]],methods_included__2[[#This Row],[Dimensionality reduction]])</f>
        <v>1</v>
      </c>
    </row>
    <row r="8" spans="1:10" x14ac:dyDescent="0.25">
      <c r="A8" s="1" t="s">
        <v>10</v>
      </c>
      <c r="B8" s="1" t="s">
        <v>115</v>
      </c>
      <c r="C8">
        <v>0</v>
      </c>
      <c r="D8">
        <v>1</v>
      </c>
      <c r="E8">
        <v>0</v>
      </c>
      <c r="F8">
        <v>1</v>
      </c>
      <c r="G8">
        <v>0</v>
      </c>
      <c r="H8">
        <v>0</v>
      </c>
      <c r="I8">
        <v>0</v>
      </c>
      <c r="J8" t="b">
        <f>OR(methods_included__2[[#This Row],[MDS]],methods_included__2[[#This Row],[PCA]],methods_included__2[[#This Row],[Dimensionality reduction]])</f>
        <v>1</v>
      </c>
    </row>
    <row r="9" spans="1:10" x14ac:dyDescent="0.25">
      <c r="A9" s="1" t="s">
        <v>11</v>
      </c>
      <c r="B9" s="1" t="s">
        <v>116</v>
      </c>
      <c r="C9">
        <v>0</v>
      </c>
      <c r="D9">
        <v>1</v>
      </c>
      <c r="E9">
        <v>0</v>
      </c>
      <c r="F9">
        <v>0</v>
      </c>
      <c r="G9">
        <v>1</v>
      </c>
      <c r="H9">
        <v>0</v>
      </c>
      <c r="I9">
        <v>0</v>
      </c>
      <c r="J9" t="b">
        <f>OR(methods_included__2[[#This Row],[MDS]],methods_included__2[[#This Row],[PCA]],methods_included__2[[#This Row],[Dimensionality reduction]])</f>
        <v>0</v>
      </c>
    </row>
    <row r="10" spans="1:10" x14ac:dyDescent="0.25">
      <c r="A10" s="1" t="s">
        <v>12</v>
      </c>
      <c r="B10" s="1" t="s">
        <v>2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 t="b">
        <f>OR(methods_included__2[[#This Row],[MDS]],methods_included__2[[#This Row],[PCA]],methods_included__2[[#This Row],[Dimensionality reduction]])</f>
        <v>0</v>
      </c>
    </row>
    <row r="11" spans="1:10" x14ac:dyDescent="0.25">
      <c r="A11" s="1" t="s">
        <v>13</v>
      </c>
      <c r="B11" s="1" t="s">
        <v>2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 t="b">
        <f>OR(methods_included__2[[#This Row],[MDS]],methods_included__2[[#This Row],[PCA]],methods_included__2[[#This Row],[Dimensionality reduction]])</f>
        <v>0</v>
      </c>
    </row>
    <row r="12" spans="1:10" x14ac:dyDescent="0.25">
      <c r="A12" s="1" t="s">
        <v>14</v>
      </c>
      <c r="B12" s="1" t="s">
        <v>2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 t="b">
        <f>OR(methods_included__2[[#This Row],[MDS]],methods_included__2[[#This Row],[PCA]],methods_included__2[[#This Row],[Dimensionality reduction]])</f>
        <v>0</v>
      </c>
    </row>
    <row r="13" spans="1:10" x14ac:dyDescent="0.25">
      <c r="A13" s="1" t="s">
        <v>15</v>
      </c>
      <c r="B13" s="1" t="s">
        <v>2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 t="b">
        <f>OR(methods_included__2[[#This Row],[MDS]],methods_included__2[[#This Row],[PCA]],methods_included__2[[#This Row],[Dimensionality reduction]])</f>
        <v>0</v>
      </c>
    </row>
    <row r="14" spans="1:10" x14ac:dyDescent="0.25">
      <c r="A14" s="1" t="s">
        <v>16</v>
      </c>
      <c r="B14" s="1" t="s">
        <v>117</v>
      </c>
      <c r="C14">
        <v>1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 t="b">
        <f>OR(methods_included__2[[#This Row],[MDS]],methods_included__2[[#This Row],[PCA]],methods_included__2[[#This Row],[Dimensionality reduction]])</f>
        <v>0</v>
      </c>
    </row>
    <row r="15" spans="1:10" x14ac:dyDescent="0.25">
      <c r="A15" s="1" t="s">
        <v>17</v>
      </c>
      <c r="B15" s="1" t="s">
        <v>118</v>
      </c>
      <c r="C15">
        <v>1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 t="b">
        <f>OR(methods_included__2[[#This Row],[MDS]],methods_included__2[[#This Row],[PCA]],methods_included__2[[#This Row],[Dimensionality reduction]])</f>
        <v>0</v>
      </c>
    </row>
    <row r="16" spans="1:10" x14ac:dyDescent="0.25">
      <c r="A16" s="1" t="s">
        <v>18</v>
      </c>
      <c r="B16" s="1" t="s">
        <v>119</v>
      </c>
      <c r="C16">
        <v>1</v>
      </c>
      <c r="D16">
        <v>1</v>
      </c>
      <c r="E16">
        <v>0</v>
      </c>
      <c r="F16">
        <v>1</v>
      </c>
      <c r="G16">
        <v>0</v>
      </c>
      <c r="H16">
        <v>0</v>
      </c>
      <c r="I16">
        <v>0</v>
      </c>
      <c r="J16" t="b">
        <f>OR(methods_included__2[[#This Row],[MDS]],methods_included__2[[#This Row],[PCA]],methods_included__2[[#This Row],[Dimensionality reduction]])</f>
        <v>1</v>
      </c>
    </row>
    <row r="17" spans="1:10" x14ac:dyDescent="0.25">
      <c r="A17" s="1" t="s">
        <v>19</v>
      </c>
      <c r="B17" s="1" t="s">
        <v>120</v>
      </c>
      <c r="C17">
        <v>1</v>
      </c>
      <c r="D17">
        <v>1</v>
      </c>
      <c r="E17">
        <v>0</v>
      </c>
      <c r="F17">
        <v>1</v>
      </c>
      <c r="G17">
        <v>0</v>
      </c>
      <c r="H17">
        <v>0</v>
      </c>
      <c r="I17">
        <v>0</v>
      </c>
      <c r="J17" t="b">
        <f>OR(methods_included__2[[#This Row],[MDS]],methods_included__2[[#This Row],[PCA]],methods_included__2[[#This Row],[Dimensionality reduction]])</f>
        <v>1</v>
      </c>
    </row>
    <row r="18" spans="1:10" x14ac:dyDescent="0.25">
      <c r="A18" s="1" t="s">
        <v>20</v>
      </c>
      <c r="B18" s="1" t="s">
        <v>121</v>
      </c>
      <c r="C18">
        <v>0</v>
      </c>
      <c r="D18">
        <v>1</v>
      </c>
      <c r="E18">
        <v>0</v>
      </c>
      <c r="F18">
        <v>1</v>
      </c>
      <c r="G18">
        <v>0</v>
      </c>
      <c r="H18">
        <v>0</v>
      </c>
      <c r="I18">
        <v>0</v>
      </c>
      <c r="J18" t="b">
        <f>OR(methods_included__2[[#This Row],[MDS]],methods_included__2[[#This Row],[PCA]],methods_included__2[[#This Row],[Dimensionality reduction]])</f>
        <v>1</v>
      </c>
    </row>
    <row r="19" spans="1:10" x14ac:dyDescent="0.25">
      <c r="A19" s="1" t="s">
        <v>21</v>
      </c>
      <c r="B19" s="1" t="s">
        <v>122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 t="b">
        <f>OR(methods_included__2[[#This Row],[MDS]],methods_included__2[[#This Row],[PCA]],methods_included__2[[#This Row],[Dimensionality reduction]])</f>
        <v>0</v>
      </c>
    </row>
    <row r="20" spans="1:10" x14ac:dyDescent="0.25">
      <c r="A20" s="1" t="s">
        <v>22</v>
      </c>
      <c r="B20" s="1" t="s">
        <v>121</v>
      </c>
      <c r="C20">
        <v>0</v>
      </c>
      <c r="D20">
        <v>1</v>
      </c>
      <c r="E20">
        <v>0</v>
      </c>
      <c r="F20">
        <v>1</v>
      </c>
      <c r="G20">
        <v>0</v>
      </c>
      <c r="H20">
        <v>0</v>
      </c>
      <c r="I20">
        <v>0</v>
      </c>
      <c r="J20" t="b">
        <f>OR(methods_included__2[[#This Row],[MDS]],methods_included__2[[#This Row],[PCA]],methods_included__2[[#This Row],[Dimensionality reduction]])</f>
        <v>1</v>
      </c>
    </row>
    <row r="21" spans="1:10" x14ac:dyDescent="0.25">
      <c r="A21" s="1" t="s">
        <v>23</v>
      </c>
      <c r="B21" s="1" t="s">
        <v>123</v>
      </c>
      <c r="C21">
        <v>1</v>
      </c>
      <c r="D21">
        <v>1</v>
      </c>
      <c r="E21">
        <v>1</v>
      </c>
      <c r="F21">
        <v>0</v>
      </c>
      <c r="G21">
        <v>0</v>
      </c>
      <c r="H21">
        <v>0</v>
      </c>
      <c r="I21">
        <v>0</v>
      </c>
      <c r="J21" t="b">
        <f>OR(methods_included__2[[#This Row],[MDS]],methods_included__2[[#This Row],[PCA]],methods_included__2[[#This Row],[Dimensionality reduction]])</f>
        <v>1</v>
      </c>
    </row>
    <row r="22" spans="1:10" x14ac:dyDescent="0.25">
      <c r="A22" s="1" t="s">
        <v>24</v>
      </c>
      <c r="B22" s="1" t="s">
        <v>2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 t="b">
        <f>OR(methods_included__2[[#This Row],[MDS]],methods_included__2[[#This Row],[PCA]],methods_included__2[[#This Row],[Dimensionality reduction]])</f>
        <v>0</v>
      </c>
    </row>
    <row r="23" spans="1:10" x14ac:dyDescent="0.25">
      <c r="A23" s="1" t="s">
        <v>25</v>
      </c>
      <c r="B23" s="1" t="s">
        <v>124</v>
      </c>
      <c r="C23">
        <v>1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 t="b">
        <f>OR(methods_included__2[[#This Row],[MDS]],methods_included__2[[#This Row],[PCA]],methods_included__2[[#This Row],[Dimensionality reduction]])</f>
        <v>1</v>
      </c>
    </row>
    <row r="24" spans="1:10" x14ac:dyDescent="0.25">
      <c r="A24" s="1" t="s">
        <v>26</v>
      </c>
      <c r="B24" s="1" t="s">
        <v>125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t="b">
        <f>OR(methods_included__2[[#This Row],[MDS]],methods_included__2[[#This Row],[PCA]],methods_included__2[[#This Row],[Dimensionality reduction]])</f>
        <v>0</v>
      </c>
    </row>
    <row r="25" spans="1:10" x14ac:dyDescent="0.25">
      <c r="A25" s="1" t="s">
        <v>27</v>
      </c>
      <c r="B25" s="1" t="s">
        <v>126</v>
      </c>
      <c r="C25">
        <v>0</v>
      </c>
      <c r="D25">
        <v>1</v>
      </c>
      <c r="E25">
        <v>0</v>
      </c>
      <c r="F25">
        <v>1</v>
      </c>
      <c r="G25">
        <v>0</v>
      </c>
      <c r="H25">
        <v>0</v>
      </c>
      <c r="I25">
        <v>0</v>
      </c>
      <c r="J25" t="b">
        <f>OR(methods_included__2[[#This Row],[MDS]],methods_included__2[[#This Row],[PCA]],methods_included__2[[#This Row],[Dimensionality reduction]])</f>
        <v>1</v>
      </c>
    </row>
    <row r="26" spans="1:10" x14ac:dyDescent="0.25">
      <c r="A26" s="1" t="s">
        <v>28</v>
      </c>
      <c r="B26" s="1" t="s">
        <v>2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 t="b">
        <f>OR(methods_included__2[[#This Row],[MDS]],methods_included__2[[#This Row],[PCA]],methods_included__2[[#This Row],[Dimensionality reduction]])</f>
        <v>0</v>
      </c>
    </row>
    <row r="27" spans="1:10" x14ac:dyDescent="0.25">
      <c r="A27" s="1" t="s">
        <v>29</v>
      </c>
      <c r="B27" s="1" t="s">
        <v>2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 t="b">
        <f>OR(methods_included__2[[#This Row],[MDS]],methods_included__2[[#This Row],[PCA]],methods_included__2[[#This Row],[Dimensionality reduction]])</f>
        <v>0</v>
      </c>
    </row>
    <row r="28" spans="1:10" x14ac:dyDescent="0.25">
      <c r="A28" s="1" t="s">
        <v>30</v>
      </c>
      <c r="B28" s="1" t="s">
        <v>127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1</v>
      </c>
      <c r="J28" t="b">
        <f>OR(methods_included__2[[#This Row],[MDS]],methods_included__2[[#This Row],[PCA]],methods_included__2[[#This Row],[Dimensionality reduction]])</f>
        <v>1</v>
      </c>
    </row>
    <row r="29" spans="1:10" x14ac:dyDescent="0.25">
      <c r="A29" s="1" t="s">
        <v>31</v>
      </c>
      <c r="B29" s="1" t="s">
        <v>128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b">
        <f>OR(methods_included__2[[#This Row],[MDS]],methods_included__2[[#This Row],[PCA]],methods_included__2[[#This Row],[Dimensionality reduction]])</f>
        <v>0</v>
      </c>
    </row>
    <row r="30" spans="1:10" x14ac:dyDescent="0.25">
      <c r="A30" s="1" t="s">
        <v>32</v>
      </c>
      <c r="B30" s="1" t="s">
        <v>2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 t="b">
        <f>OR(methods_included__2[[#This Row],[MDS]],methods_included__2[[#This Row],[PCA]],methods_included__2[[#This Row],[Dimensionality reduction]])</f>
        <v>0</v>
      </c>
    </row>
    <row r="31" spans="1:10" x14ac:dyDescent="0.25">
      <c r="A31" s="1" t="s">
        <v>33</v>
      </c>
      <c r="B31" s="1" t="s">
        <v>121</v>
      </c>
      <c r="C31">
        <v>0</v>
      </c>
      <c r="D31">
        <v>1</v>
      </c>
      <c r="E31">
        <v>0</v>
      </c>
      <c r="F31">
        <v>1</v>
      </c>
      <c r="G31">
        <v>0</v>
      </c>
      <c r="H31">
        <v>0</v>
      </c>
      <c r="I31">
        <v>0</v>
      </c>
      <c r="J31" t="b">
        <f>OR(methods_included__2[[#This Row],[MDS]],methods_included__2[[#This Row],[PCA]],methods_included__2[[#This Row],[Dimensionality reduction]])</f>
        <v>1</v>
      </c>
    </row>
    <row r="32" spans="1:10" x14ac:dyDescent="0.25">
      <c r="A32" s="1" t="s">
        <v>34</v>
      </c>
      <c r="B32" s="1" t="s">
        <v>118</v>
      </c>
      <c r="C32">
        <v>1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 t="b">
        <f>OR(methods_included__2[[#This Row],[MDS]],methods_included__2[[#This Row],[PCA]],methods_included__2[[#This Row],[Dimensionality reduction]])</f>
        <v>0</v>
      </c>
    </row>
    <row r="33" spans="1:10" x14ac:dyDescent="0.25">
      <c r="A33" s="1" t="s">
        <v>35</v>
      </c>
      <c r="B33" s="1" t="s">
        <v>129</v>
      </c>
      <c r="C33">
        <v>1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 t="b">
        <f>OR(methods_included__2[[#This Row],[MDS]],methods_included__2[[#This Row],[PCA]],methods_included__2[[#This Row],[Dimensionality reduction]])</f>
        <v>0</v>
      </c>
    </row>
    <row r="34" spans="1:10" x14ac:dyDescent="0.25">
      <c r="A34" s="1" t="s">
        <v>36</v>
      </c>
      <c r="B34" s="1" t="s">
        <v>2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 t="b">
        <f>OR(methods_included__2[[#This Row],[MDS]],methods_included__2[[#This Row],[PCA]],methods_included__2[[#This Row],[Dimensionality reduction]])</f>
        <v>0</v>
      </c>
    </row>
    <row r="35" spans="1:10" x14ac:dyDescent="0.25">
      <c r="A35" s="1" t="s">
        <v>37</v>
      </c>
      <c r="B35" s="1" t="s">
        <v>2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 t="b">
        <f>OR(methods_included__2[[#This Row],[MDS]],methods_included__2[[#This Row],[PCA]],methods_included__2[[#This Row],[Dimensionality reduction]])</f>
        <v>0</v>
      </c>
    </row>
    <row r="36" spans="1:10" x14ac:dyDescent="0.25">
      <c r="A36" s="1" t="s">
        <v>38</v>
      </c>
      <c r="B36" s="1" t="s">
        <v>130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t="b">
        <f>OR(methods_included__2[[#This Row],[MDS]],methods_included__2[[#This Row],[PCA]],methods_included__2[[#This Row],[Dimensionality reduction]])</f>
        <v>0</v>
      </c>
    </row>
    <row r="37" spans="1:10" x14ac:dyDescent="0.25">
      <c r="A37" s="1" t="s">
        <v>39</v>
      </c>
      <c r="B37" s="1" t="s">
        <v>2</v>
      </c>
      <c r="C37">
        <v>0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 t="b">
        <f>OR(methods_included__2[[#This Row],[MDS]],methods_included__2[[#This Row],[PCA]],methods_included__2[[#This Row],[Dimensionality reduction]])</f>
        <v>0</v>
      </c>
    </row>
    <row r="38" spans="1:10" x14ac:dyDescent="0.25">
      <c r="A38" s="1" t="s">
        <v>40</v>
      </c>
      <c r="B38" s="1" t="s">
        <v>131</v>
      </c>
      <c r="C38">
        <v>1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 t="b">
        <f>OR(methods_included__2[[#This Row],[MDS]],methods_included__2[[#This Row],[PCA]],methods_included__2[[#This Row],[Dimensionality reduction]])</f>
        <v>1</v>
      </c>
    </row>
    <row r="39" spans="1:10" x14ac:dyDescent="0.25">
      <c r="A39" s="1" t="s">
        <v>41</v>
      </c>
      <c r="B39" s="1" t="s">
        <v>132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 t="b">
        <f>OR(methods_included__2[[#This Row],[MDS]],methods_included__2[[#This Row],[PCA]],methods_included__2[[#This Row],[Dimensionality reduction]])</f>
        <v>0</v>
      </c>
    </row>
    <row r="40" spans="1:10" x14ac:dyDescent="0.25">
      <c r="A40" s="1" t="s">
        <v>42</v>
      </c>
      <c r="B40" s="1" t="s">
        <v>2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 t="b">
        <f>OR(methods_included__2[[#This Row],[MDS]],methods_included__2[[#This Row],[PCA]],methods_included__2[[#This Row],[Dimensionality reduction]])</f>
        <v>0</v>
      </c>
    </row>
    <row r="41" spans="1:10" x14ac:dyDescent="0.25">
      <c r="A41" s="1" t="s">
        <v>43</v>
      </c>
      <c r="B41" s="1" t="s">
        <v>2</v>
      </c>
      <c r="C41">
        <v>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 t="b">
        <f>OR(methods_included__2[[#This Row],[MDS]],methods_included__2[[#This Row],[PCA]],methods_included__2[[#This Row],[Dimensionality reduction]])</f>
        <v>0</v>
      </c>
    </row>
    <row r="42" spans="1:10" x14ac:dyDescent="0.25">
      <c r="A42" s="1" t="s">
        <v>44</v>
      </c>
      <c r="B42" s="1" t="s">
        <v>133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 t="b">
        <f>OR(methods_included__2[[#This Row],[MDS]],methods_included__2[[#This Row],[PCA]],methods_included__2[[#This Row],[Dimensionality reduction]])</f>
        <v>1</v>
      </c>
    </row>
    <row r="43" spans="1:10" x14ac:dyDescent="0.25">
      <c r="A43" s="1" t="s">
        <v>45</v>
      </c>
      <c r="B43" s="1" t="s">
        <v>2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 t="b">
        <f>OR(methods_included__2[[#This Row],[MDS]],methods_included__2[[#This Row],[PCA]],methods_included__2[[#This Row],[Dimensionality reduction]])</f>
        <v>0</v>
      </c>
    </row>
    <row r="44" spans="1:10" x14ac:dyDescent="0.25">
      <c r="A44" s="1" t="s">
        <v>46</v>
      </c>
      <c r="B44" s="1" t="s">
        <v>134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 t="b">
        <f>OR(methods_included__2[[#This Row],[MDS]],methods_included__2[[#This Row],[PCA]],methods_included__2[[#This Row],[Dimensionality reduction]])</f>
        <v>0</v>
      </c>
    </row>
    <row r="45" spans="1:10" x14ac:dyDescent="0.25">
      <c r="A45" s="1" t="s">
        <v>47</v>
      </c>
      <c r="B45" s="1" t="s">
        <v>135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b">
        <f>OR(methods_included__2[[#This Row],[MDS]],methods_included__2[[#This Row],[PCA]],methods_included__2[[#This Row],[Dimensionality reduction]])</f>
        <v>0</v>
      </c>
    </row>
    <row r="46" spans="1:10" x14ac:dyDescent="0.25">
      <c r="A46" s="1" t="s">
        <v>48</v>
      </c>
      <c r="B46" s="1" t="s">
        <v>2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 t="b">
        <f>OR(methods_included__2[[#This Row],[MDS]],methods_included__2[[#This Row],[PCA]],methods_included__2[[#This Row],[Dimensionality reduction]])</f>
        <v>0</v>
      </c>
    </row>
    <row r="47" spans="1:10" x14ac:dyDescent="0.25">
      <c r="A47" s="1" t="s">
        <v>49</v>
      </c>
      <c r="B47" s="1" t="s">
        <v>133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 t="b">
        <f>OR(methods_included__2[[#This Row],[MDS]],methods_included__2[[#This Row],[PCA]],methods_included__2[[#This Row],[Dimensionality reduction]])</f>
        <v>1</v>
      </c>
    </row>
    <row r="48" spans="1:10" x14ac:dyDescent="0.25">
      <c r="A48" s="1" t="s">
        <v>50</v>
      </c>
      <c r="B48" s="1" t="s">
        <v>136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b">
        <f>OR(methods_included__2[[#This Row],[MDS]],methods_included__2[[#This Row],[PCA]],methods_included__2[[#This Row],[Dimensionality reduction]])</f>
        <v>0</v>
      </c>
    </row>
    <row r="49" spans="1:10" x14ac:dyDescent="0.25">
      <c r="A49" s="1" t="s">
        <v>51</v>
      </c>
      <c r="B49" s="1" t="s">
        <v>2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 t="b">
        <f>OR(methods_included__2[[#This Row],[MDS]],methods_included__2[[#This Row],[PCA]],methods_included__2[[#This Row],[Dimensionality reduction]])</f>
        <v>0</v>
      </c>
    </row>
    <row r="50" spans="1:10" x14ac:dyDescent="0.25">
      <c r="A50" s="1" t="s">
        <v>52</v>
      </c>
      <c r="B50" s="1" t="s">
        <v>2</v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 t="b">
        <f>OR(methods_included__2[[#This Row],[MDS]],methods_included__2[[#This Row],[PCA]],methods_included__2[[#This Row],[Dimensionality reduction]])</f>
        <v>0</v>
      </c>
    </row>
    <row r="51" spans="1:10" x14ac:dyDescent="0.25">
      <c r="A51" s="1" t="s">
        <v>53</v>
      </c>
      <c r="B51" s="1" t="s">
        <v>2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 t="b">
        <f>OR(methods_included__2[[#This Row],[MDS]],methods_included__2[[#This Row],[PCA]],methods_included__2[[#This Row],[Dimensionality reduction]])</f>
        <v>0</v>
      </c>
    </row>
    <row r="52" spans="1:10" x14ac:dyDescent="0.25">
      <c r="A52" s="1" t="s">
        <v>54</v>
      </c>
      <c r="B52" s="1" t="s">
        <v>137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1</v>
      </c>
      <c r="J52" t="b">
        <f>OR(methods_included__2[[#This Row],[MDS]],methods_included__2[[#This Row],[PCA]],methods_included__2[[#This Row],[Dimensionality reduction]])</f>
        <v>1</v>
      </c>
    </row>
    <row r="53" spans="1:10" x14ac:dyDescent="0.25">
      <c r="A53" s="1" t="s">
        <v>55</v>
      </c>
      <c r="B53" s="1" t="s">
        <v>138</v>
      </c>
      <c r="C53">
        <v>1</v>
      </c>
      <c r="D53">
        <v>1</v>
      </c>
      <c r="E53">
        <v>0</v>
      </c>
      <c r="F53">
        <v>1</v>
      </c>
      <c r="G53">
        <v>0</v>
      </c>
      <c r="H53">
        <v>0</v>
      </c>
      <c r="I53">
        <v>0</v>
      </c>
      <c r="J53" t="b">
        <f>OR(methods_included__2[[#This Row],[MDS]],methods_included__2[[#This Row],[PCA]],methods_included__2[[#This Row],[Dimensionality reduction]])</f>
        <v>1</v>
      </c>
    </row>
    <row r="54" spans="1:10" x14ac:dyDescent="0.25">
      <c r="A54" s="1" t="s">
        <v>56</v>
      </c>
      <c r="B54" s="1" t="s">
        <v>121</v>
      </c>
      <c r="C54">
        <v>0</v>
      </c>
      <c r="D54">
        <v>1</v>
      </c>
      <c r="E54">
        <v>0</v>
      </c>
      <c r="F54">
        <v>1</v>
      </c>
      <c r="G54">
        <v>0</v>
      </c>
      <c r="H54">
        <v>0</v>
      </c>
      <c r="I54">
        <v>0</v>
      </c>
      <c r="J54" t="b">
        <f>OR(methods_included__2[[#This Row],[MDS]],methods_included__2[[#This Row],[PCA]],methods_included__2[[#This Row],[Dimensionality reduction]])</f>
        <v>1</v>
      </c>
    </row>
    <row r="55" spans="1:10" x14ac:dyDescent="0.25">
      <c r="A55" s="1" t="s">
        <v>57</v>
      </c>
      <c r="B55" s="1" t="s">
        <v>139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  <c r="J55" t="b">
        <f>OR(methods_included__2[[#This Row],[MDS]],methods_included__2[[#This Row],[PCA]],methods_included__2[[#This Row],[Dimensionality reduction]])</f>
        <v>1</v>
      </c>
    </row>
    <row r="56" spans="1:10" x14ac:dyDescent="0.25">
      <c r="A56" s="1" t="s">
        <v>58</v>
      </c>
      <c r="B56" s="1" t="s">
        <v>140</v>
      </c>
      <c r="C56">
        <v>1</v>
      </c>
      <c r="D56">
        <v>1</v>
      </c>
      <c r="E56">
        <v>0</v>
      </c>
      <c r="F56">
        <v>0</v>
      </c>
      <c r="G56">
        <v>0</v>
      </c>
      <c r="H56">
        <v>0</v>
      </c>
      <c r="I56">
        <v>1</v>
      </c>
      <c r="J56" t="b">
        <f>OR(methods_included__2[[#This Row],[MDS]],methods_included__2[[#This Row],[PCA]],methods_included__2[[#This Row],[Dimensionality reduction]])</f>
        <v>0</v>
      </c>
    </row>
    <row r="57" spans="1:10" x14ac:dyDescent="0.25">
      <c r="A57" s="1" t="s">
        <v>59</v>
      </c>
      <c r="B57" s="1" t="s">
        <v>2</v>
      </c>
      <c r="C57">
        <v>0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 t="b">
        <f>OR(methods_included__2[[#This Row],[MDS]],methods_included__2[[#This Row],[PCA]],methods_included__2[[#This Row],[Dimensionality reduction]])</f>
        <v>0</v>
      </c>
    </row>
    <row r="58" spans="1:10" x14ac:dyDescent="0.25">
      <c r="A58" s="1" t="s">
        <v>60</v>
      </c>
      <c r="B58" s="1" t="s">
        <v>141</v>
      </c>
      <c r="C58">
        <v>1</v>
      </c>
      <c r="D58">
        <v>1</v>
      </c>
      <c r="E58">
        <v>0</v>
      </c>
      <c r="F58">
        <v>1</v>
      </c>
      <c r="G58">
        <v>0</v>
      </c>
      <c r="H58">
        <v>1</v>
      </c>
      <c r="I58">
        <v>0</v>
      </c>
      <c r="J58" t="b">
        <f>OR(methods_included__2[[#This Row],[MDS]],methods_included__2[[#This Row],[PCA]],methods_included__2[[#This Row],[Dimensionality reduction]])</f>
        <v>1</v>
      </c>
    </row>
    <row r="59" spans="1:10" x14ac:dyDescent="0.25">
      <c r="A59" s="1" t="s">
        <v>61</v>
      </c>
      <c r="B59" s="1" t="s">
        <v>142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b">
        <f>OR(methods_included__2[[#This Row],[MDS]],methods_included__2[[#This Row],[PCA]],methods_included__2[[#This Row],[Dimensionality reduction]])</f>
        <v>0</v>
      </c>
    </row>
    <row r="60" spans="1:10" x14ac:dyDescent="0.25">
      <c r="A60" s="1" t="s">
        <v>62</v>
      </c>
      <c r="B60" s="1" t="s">
        <v>143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 t="b">
        <f>OR(methods_included__2[[#This Row],[MDS]],methods_included__2[[#This Row],[PCA]],methods_included__2[[#This Row],[Dimensionality reduction]])</f>
        <v>0</v>
      </c>
    </row>
    <row r="61" spans="1:10" x14ac:dyDescent="0.25">
      <c r="A61" s="1" t="s">
        <v>63</v>
      </c>
      <c r="B61" s="1" t="s">
        <v>144</v>
      </c>
      <c r="C61">
        <v>1</v>
      </c>
      <c r="D61">
        <v>0</v>
      </c>
      <c r="E61">
        <v>0</v>
      </c>
      <c r="F61">
        <v>0</v>
      </c>
      <c r="G61">
        <v>1</v>
      </c>
      <c r="H61">
        <v>1</v>
      </c>
      <c r="I61">
        <v>0</v>
      </c>
      <c r="J61" t="b">
        <f>OR(methods_included__2[[#This Row],[MDS]],methods_included__2[[#This Row],[PCA]],methods_included__2[[#This Row],[Dimensionality reduction]])</f>
        <v>1</v>
      </c>
    </row>
    <row r="62" spans="1:10" x14ac:dyDescent="0.25">
      <c r="A62" s="1" t="s">
        <v>64</v>
      </c>
      <c r="B62" s="1" t="s">
        <v>145</v>
      </c>
      <c r="C62">
        <v>1</v>
      </c>
      <c r="D62">
        <v>0</v>
      </c>
      <c r="E62">
        <v>0</v>
      </c>
      <c r="F62">
        <v>0</v>
      </c>
      <c r="G62">
        <v>0</v>
      </c>
      <c r="H62">
        <v>1</v>
      </c>
      <c r="I62">
        <v>1</v>
      </c>
      <c r="J62" t="b">
        <f>OR(methods_included__2[[#This Row],[MDS]],methods_included__2[[#This Row],[PCA]],methods_included__2[[#This Row],[Dimensionality reduction]])</f>
        <v>1</v>
      </c>
    </row>
    <row r="63" spans="1:10" x14ac:dyDescent="0.25">
      <c r="A63" s="1" t="s">
        <v>65</v>
      </c>
      <c r="B63" s="1" t="s">
        <v>146</v>
      </c>
      <c r="C63">
        <v>0</v>
      </c>
      <c r="D63">
        <v>0</v>
      </c>
      <c r="E63">
        <v>1</v>
      </c>
      <c r="F63">
        <v>1</v>
      </c>
      <c r="G63">
        <v>0</v>
      </c>
      <c r="H63">
        <v>0</v>
      </c>
      <c r="I63">
        <v>0</v>
      </c>
      <c r="J63" t="b">
        <f>OR(methods_included__2[[#This Row],[MDS]],methods_included__2[[#This Row],[PCA]],methods_included__2[[#This Row],[Dimensionality reduction]])</f>
        <v>1</v>
      </c>
    </row>
    <row r="64" spans="1:10" x14ac:dyDescent="0.25">
      <c r="A64" s="1" t="s">
        <v>66</v>
      </c>
      <c r="B64" s="1" t="s">
        <v>2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 t="b">
        <f>OR(methods_included__2[[#This Row],[MDS]],methods_included__2[[#This Row],[PCA]],methods_included__2[[#This Row],[Dimensionality reduction]])</f>
        <v>0</v>
      </c>
    </row>
    <row r="65" spans="1:10" x14ac:dyDescent="0.25">
      <c r="A65" s="1" t="s">
        <v>67</v>
      </c>
      <c r="B65" s="1" t="s">
        <v>2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 t="b">
        <f>OR(methods_included__2[[#This Row],[MDS]],methods_included__2[[#This Row],[PCA]],methods_included__2[[#This Row],[Dimensionality reduction]])</f>
        <v>0</v>
      </c>
    </row>
    <row r="66" spans="1:10" x14ac:dyDescent="0.25">
      <c r="A66" s="1" t="s">
        <v>68</v>
      </c>
      <c r="B66" s="1" t="s">
        <v>146</v>
      </c>
      <c r="C66">
        <v>0</v>
      </c>
      <c r="D66">
        <v>0</v>
      </c>
      <c r="E66">
        <v>1</v>
      </c>
      <c r="F66">
        <v>1</v>
      </c>
      <c r="G66">
        <v>0</v>
      </c>
      <c r="H66">
        <v>0</v>
      </c>
      <c r="I66">
        <v>0</v>
      </c>
      <c r="J66" t="b">
        <f>OR(methods_included__2[[#This Row],[MDS]],methods_included__2[[#This Row],[PCA]],methods_included__2[[#This Row],[Dimensionality reduction]])</f>
        <v>1</v>
      </c>
    </row>
    <row r="67" spans="1:10" x14ac:dyDescent="0.25">
      <c r="A67" s="1" t="s">
        <v>69</v>
      </c>
      <c r="B67" s="1" t="s">
        <v>147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 t="b">
        <f>OR(methods_included__2[[#This Row],[MDS]],methods_included__2[[#This Row],[PCA]],methods_included__2[[#This Row],[Dimensionality reduction]])</f>
        <v>0</v>
      </c>
    </row>
    <row r="68" spans="1:10" x14ac:dyDescent="0.25">
      <c r="A68" s="1" t="s">
        <v>70</v>
      </c>
      <c r="B68" s="1" t="s">
        <v>142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 t="b">
        <f>OR(methods_included__2[[#This Row],[MDS]],methods_included__2[[#This Row],[PCA]],methods_included__2[[#This Row],[Dimensionality reduction]])</f>
        <v>0</v>
      </c>
    </row>
    <row r="69" spans="1:10" x14ac:dyDescent="0.25">
      <c r="A69" s="1" t="s">
        <v>71</v>
      </c>
      <c r="B69" s="1" t="s">
        <v>148</v>
      </c>
      <c r="C69">
        <v>0</v>
      </c>
      <c r="D69">
        <v>0</v>
      </c>
      <c r="E69">
        <v>1</v>
      </c>
      <c r="F69">
        <v>0</v>
      </c>
      <c r="G69">
        <v>0</v>
      </c>
      <c r="H69">
        <v>0</v>
      </c>
      <c r="I69">
        <v>0</v>
      </c>
      <c r="J69" t="b">
        <f>OR(methods_included__2[[#This Row],[MDS]],methods_included__2[[#This Row],[PCA]],methods_included__2[[#This Row],[Dimensionality reduction]])</f>
        <v>1</v>
      </c>
    </row>
    <row r="70" spans="1:10" x14ac:dyDescent="0.25">
      <c r="A70" s="1" t="s">
        <v>72</v>
      </c>
      <c r="B70" s="1" t="s">
        <v>133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 t="b">
        <f>OR(methods_included__2[[#This Row],[MDS]],methods_included__2[[#This Row],[PCA]],methods_included__2[[#This Row],[Dimensionality reduction]])</f>
        <v>1</v>
      </c>
    </row>
    <row r="71" spans="1:10" x14ac:dyDescent="0.25">
      <c r="A71" s="1" t="s">
        <v>73</v>
      </c>
      <c r="B71" s="1" t="s">
        <v>146</v>
      </c>
      <c r="C71">
        <v>0</v>
      </c>
      <c r="D71">
        <v>0</v>
      </c>
      <c r="E71">
        <v>1</v>
      </c>
      <c r="F71">
        <v>1</v>
      </c>
      <c r="G71">
        <v>0</v>
      </c>
      <c r="H71">
        <v>0</v>
      </c>
      <c r="I71">
        <v>0</v>
      </c>
      <c r="J71" t="b">
        <f>OR(methods_included__2[[#This Row],[MDS]],methods_included__2[[#This Row],[PCA]],methods_included__2[[#This Row],[Dimensionality reduction]])</f>
        <v>1</v>
      </c>
    </row>
    <row r="72" spans="1:10" x14ac:dyDescent="0.25">
      <c r="A72" s="1" t="s">
        <v>74</v>
      </c>
      <c r="B72" s="1" t="s">
        <v>149</v>
      </c>
      <c r="C72">
        <v>1</v>
      </c>
      <c r="D72">
        <v>0</v>
      </c>
      <c r="E72">
        <v>0</v>
      </c>
      <c r="F72">
        <v>0</v>
      </c>
      <c r="G72">
        <v>0</v>
      </c>
      <c r="H72">
        <v>1</v>
      </c>
      <c r="I72">
        <v>0</v>
      </c>
      <c r="J72" t="b">
        <f>OR(methods_included__2[[#This Row],[MDS]],methods_included__2[[#This Row],[PCA]],methods_included__2[[#This Row],[Dimensionality reduction]])</f>
        <v>1</v>
      </c>
    </row>
    <row r="73" spans="1:10" x14ac:dyDescent="0.25">
      <c r="A73" s="1" t="s">
        <v>75</v>
      </c>
      <c r="B73" s="1" t="s">
        <v>2</v>
      </c>
      <c r="C73">
        <v>0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 t="b">
        <f>OR(methods_included__2[[#This Row],[MDS]],methods_included__2[[#This Row],[PCA]],methods_included__2[[#This Row],[Dimensionality reduction]])</f>
        <v>0</v>
      </c>
    </row>
    <row r="74" spans="1:10" x14ac:dyDescent="0.25">
      <c r="A74" s="1" t="s">
        <v>76</v>
      </c>
      <c r="B74" s="1" t="s">
        <v>121</v>
      </c>
      <c r="C74">
        <v>0</v>
      </c>
      <c r="D74">
        <v>1</v>
      </c>
      <c r="E74">
        <v>0</v>
      </c>
      <c r="F74">
        <v>1</v>
      </c>
      <c r="G74">
        <v>0</v>
      </c>
      <c r="H74">
        <v>0</v>
      </c>
      <c r="I74">
        <v>0</v>
      </c>
      <c r="J74" t="b">
        <f>OR(methods_included__2[[#This Row],[MDS]],methods_included__2[[#This Row],[PCA]],methods_included__2[[#This Row],[Dimensionality reduction]])</f>
        <v>1</v>
      </c>
    </row>
    <row r="75" spans="1:10" x14ac:dyDescent="0.25">
      <c r="A75" s="1" t="s">
        <v>77</v>
      </c>
      <c r="B75" s="1" t="s">
        <v>2</v>
      </c>
      <c r="C75">
        <v>0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 t="b">
        <f>OR(methods_included__2[[#This Row],[MDS]],methods_included__2[[#This Row],[PCA]],methods_included__2[[#This Row],[Dimensionality reduction]])</f>
        <v>0</v>
      </c>
    </row>
    <row r="76" spans="1:10" x14ac:dyDescent="0.25">
      <c r="A76" s="1" t="s">
        <v>78</v>
      </c>
      <c r="B76" s="1" t="s">
        <v>2</v>
      </c>
      <c r="C76">
        <v>0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 t="b">
        <f>OR(methods_included__2[[#This Row],[MDS]],methods_included__2[[#This Row],[PCA]],methods_included__2[[#This Row],[Dimensionality reduction]])</f>
        <v>0</v>
      </c>
    </row>
    <row r="77" spans="1:10" x14ac:dyDescent="0.25">
      <c r="A77" s="1" t="s">
        <v>79</v>
      </c>
      <c r="B77" s="1" t="s">
        <v>111</v>
      </c>
      <c r="C77">
        <v>0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 t="b">
        <f>OR(methods_included__2[[#This Row],[MDS]],methods_included__2[[#This Row],[PCA]],methods_included__2[[#This Row],[Dimensionality reduction]])</f>
        <v>0</v>
      </c>
    </row>
    <row r="78" spans="1:10" x14ac:dyDescent="0.25">
      <c r="A78" s="1" t="s">
        <v>80</v>
      </c>
      <c r="B78" s="1" t="s">
        <v>150</v>
      </c>
      <c r="C78">
        <v>1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 t="b">
        <f>OR(methods_included__2[[#This Row],[MDS]],methods_included__2[[#This Row],[PCA]],methods_included__2[[#This Row],[Dimensionality reduction]])</f>
        <v>0</v>
      </c>
    </row>
    <row r="79" spans="1:10" x14ac:dyDescent="0.25">
      <c r="A79" s="1" t="s">
        <v>81</v>
      </c>
      <c r="B79" s="1" t="s">
        <v>2</v>
      </c>
      <c r="C79">
        <v>0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 t="b">
        <f>OR(methods_included__2[[#This Row],[MDS]],methods_included__2[[#This Row],[PCA]],methods_included__2[[#This Row],[Dimensionality reduction]])</f>
        <v>0</v>
      </c>
    </row>
    <row r="80" spans="1:10" x14ac:dyDescent="0.25">
      <c r="A80" s="1" t="s">
        <v>82</v>
      </c>
      <c r="B80" s="1" t="s">
        <v>118</v>
      </c>
      <c r="C80">
        <v>1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 t="b">
        <f>OR(methods_included__2[[#This Row],[MDS]],methods_included__2[[#This Row],[PCA]],methods_included__2[[#This Row],[Dimensionality reduction]])</f>
        <v>0</v>
      </c>
    </row>
    <row r="81" spans="1:10" x14ac:dyDescent="0.25">
      <c r="A81" s="1" t="s">
        <v>83</v>
      </c>
      <c r="B81" s="1" t="s">
        <v>151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 t="b">
        <f>OR(methods_included__2[[#This Row],[MDS]],methods_included__2[[#This Row],[PCA]],methods_included__2[[#This Row],[Dimensionality reduction]])</f>
        <v>0</v>
      </c>
    </row>
    <row r="82" spans="1:10" x14ac:dyDescent="0.25">
      <c r="A82" s="1" t="s">
        <v>84</v>
      </c>
      <c r="B82" s="1" t="s">
        <v>152</v>
      </c>
      <c r="C82">
        <v>0</v>
      </c>
      <c r="D82">
        <v>1</v>
      </c>
      <c r="E82">
        <v>1</v>
      </c>
      <c r="F82">
        <v>0</v>
      </c>
      <c r="G82">
        <v>0</v>
      </c>
      <c r="H82">
        <v>0</v>
      </c>
      <c r="I82">
        <v>0</v>
      </c>
      <c r="J82" t="b">
        <f>OR(methods_included__2[[#This Row],[MDS]],methods_included__2[[#This Row],[PCA]],methods_included__2[[#This Row],[Dimensionality reduction]])</f>
        <v>1</v>
      </c>
    </row>
    <row r="83" spans="1:10" x14ac:dyDescent="0.25">
      <c r="A83" s="1" t="s">
        <v>85</v>
      </c>
      <c r="B83" s="1" t="s">
        <v>153</v>
      </c>
      <c r="C83">
        <v>0</v>
      </c>
      <c r="D83">
        <v>0</v>
      </c>
      <c r="E83">
        <v>0</v>
      </c>
      <c r="F83">
        <v>1</v>
      </c>
      <c r="G83">
        <v>0</v>
      </c>
      <c r="H83">
        <v>0</v>
      </c>
      <c r="I83">
        <v>0</v>
      </c>
      <c r="J83" t="b">
        <f>OR(methods_included__2[[#This Row],[MDS]],methods_included__2[[#This Row],[PCA]],methods_included__2[[#This Row],[Dimensionality reduction]])</f>
        <v>1</v>
      </c>
    </row>
    <row r="84" spans="1:10" x14ac:dyDescent="0.25">
      <c r="A84" s="1" t="s">
        <v>86</v>
      </c>
      <c r="B84" s="1" t="s">
        <v>142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 t="b">
        <f>OR(methods_included__2[[#This Row],[MDS]],methods_included__2[[#This Row],[PCA]],methods_included__2[[#This Row],[Dimensionality reduction]])</f>
        <v>0</v>
      </c>
    </row>
    <row r="85" spans="1:10" x14ac:dyDescent="0.25">
      <c r="A85" s="1" t="s">
        <v>87</v>
      </c>
      <c r="B85" s="1" t="s">
        <v>154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 t="b">
        <f>OR(methods_included__2[[#This Row],[MDS]],methods_included__2[[#This Row],[PCA]],methods_included__2[[#This Row],[Dimensionality reduction]])</f>
        <v>0</v>
      </c>
    </row>
    <row r="86" spans="1:10" x14ac:dyDescent="0.25">
      <c r="A86" s="1" t="s">
        <v>88</v>
      </c>
      <c r="B86" s="1" t="s">
        <v>2</v>
      </c>
      <c r="C86">
        <v>0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 t="b">
        <f>OR(methods_included__2[[#This Row],[MDS]],methods_included__2[[#This Row],[PCA]],methods_included__2[[#This Row],[Dimensionality reduction]])</f>
        <v>0</v>
      </c>
    </row>
    <row r="87" spans="1:10" x14ac:dyDescent="0.25">
      <c r="A87" s="1" t="s">
        <v>89</v>
      </c>
      <c r="B87" s="1" t="s">
        <v>155</v>
      </c>
      <c r="C87">
        <v>0</v>
      </c>
      <c r="D87">
        <v>0</v>
      </c>
      <c r="E87">
        <v>1</v>
      </c>
      <c r="F87">
        <v>0</v>
      </c>
      <c r="G87">
        <v>0</v>
      </c>
      <c r="H87">
        <v>0</v>
      </c>
      <c r="I87">
        <v>0</v>
      </c>
      <c r="J87" t="b">
        <f>OR(methods_included__2[[#This Row],[MDS]],methods_included__2[[#This Row],[PCA]],methods_included__2[[#This Row],[Dimensionality reduction]])</f>
        <v>1</v>
      </c>
    </row>
    <row r="88" spans="1:10" x14ac:dyDescent="0.25">
      <c r="A88" s="1" t="s">
        <v>90</v>
      </c>
      <c r="B88" s="1" t="s">
        <v>142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 t="b">
        <f>OR(methods_included__2[[#This Row],[MDS]],methods_included__2[[#This Row],[PCA]],methods_included__2[[#This Row],[Dimensionality reduction]])</f>
        <v>0</v>
      </c>
    </row>
    <row r="89" spans="1:10" x14ac:dyDescent="0.25">
      <c r="A89" s="1" t="s">
        <v>91</v>
      </c>
      <c r="B89" s="1" t="s">
        <v>133</v>
      </c>
      <c r="C89">
        <v>0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 t="b">
        <f>OR(methods_included__2[[#This Row],[MDS]],methods_included__2[[#This Row],[PCA]],methods_included__2[[#This Row],[Dimensionality reduction]])</f>
        <v>1</v>
      </c>
    </row>
    <row r="90" spans="1:10" x14ac:dyDescent="0.25">
      <c r="A90" s="1" t="s">
        <v>92</v>
      </c>
      <c r="B90" s="1" t="s">
        <v>2</v>
      </c>
      <c r="C90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 t="b">
        <f>OR(methods_included__2[[#This Row],[MDS]],methods_included__2[[#This Row],[PCA]],methods_included__2[[#This Row],[Dimensionality reduction]])</f>
        <v>0</v>
      </c>
    </row>
    <row r="91" spans="1:10" x14ac:dyDescent="0.25">
      <c r="A91" s="1" t="s">
        <v>93</v>
      </c>
      <c r="B91" s="1" t="s">
        <v>133</v>
      </c>
      <c r="C91">
        <v>0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  <c r="J91" t="b">
        <f>OR(methods_included__2[[#This Row],[MDS]],methods_included__2[[#This Row],[PCA]],methods_included__2[[#This Row],[Dimensionality reduction]])</f>
        <v>1</v>
      </c>
    </row>
    <row r="92" spans="1:10" x14ac:dyDescent="0.25">
      <c r="A92" s="1" t="s">
        <v>94</v>
      </c>
      <c r="B92" s="1" t="s">
        <v>156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b">
        <f>OR(methods_included__2[[#This Row],[MDS]],methods_included__2[[#This Row],[PCA]],methods_included__2[[#This Row],[Dimensionality reduction]])</f>
        <v>0</v>
      </c>
    </row>
    <row r="93" spans="1:10" x14ac:dyDescent="0.25">
      <c r="A93" s="1" t="s">
        <v>95</v>
      </c>
      <c r="B93" s="1" t="s">
        <v>142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b">
        <f>OR(methods_included__2[[#This Row],[MDS]],methods_included__2[[#This Row],[PCA]],methods_included__2[[#This Row],[Dimensionality reduction]])</f>
        <v>0</v>
      </c>
    </row>
    <row r="94" spans="1:10" x14ac:dyDescent="0.25">
      <c r="A94" s="1" t="s">
        <v>96</v>
      </c>
      <c r="B94" s="1" t="s">
        <v>2</v>
      </c>
      <c r="C94">
        <v>0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 t="b">
        <f>OR(methods_included__2[[#This Row],[MDS]],methods_included__2[[#This Row],[PCA]],methods_included__2[[#This Row],[Dimensionality reduction]])</f>
        <v>0</v>
      </c>
    </row>
    <row r="95" spans="1:10" x14ac:dyDescent="0.25">
      <c r="A95" s="1" t="s">
        <v>97</v>
      </c>
      <c r="B95" s="1" t="s">
        <v>157</v>
      </c>
      <c r="C95">
        <v>0</v>
      </c>
      <c r="D95">
        <v>1</v>
      </c>
      <c r="E95">
        <v>0</v>
      </c>
      <c r="F95">
        <v>0</v>
      </c>
      <c r="G95">
        <v>0</v>
      </c>
      <c r="H95">
        <v>1</v>
      </c>
      <c r="I95">
        <v>1</v>
      </c>
      <c r="J95" t="b">
        <f>OR(methods_included__2[[#This Row],[MDS]],methods_included__2[[#This Row],[PCA]],methods_included__2[[#This Row],[Dimensionality reduction]])</f>
        <v>1</v>
      </c>
    </row>
    <row r="96" spans="1:10" x14ac:dyDescent="0.25">
      <c r="A96" s="1" t="s">
        <v>98</v>
      </c>
      <c r="B96" s="1" t="s">
        <v>121</v>
      </c>
      <c r="C96">
        <v>0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 t="b">
        <f>OR(methods_included__2[[#This Row],[MDS]],methods_included__2[[#This Row],[PCA]],methods_included__2[[#This Row],[Dimensionality reduction]])</f>
        <v>0</v>
      </c>
    </row>
    <row r="97" spans="1:10" x14ac:dyDescent="0.25">
      <c r="A97" s="1" t="s">
        <v>99</v>
      </c>
      <c r="B97" s="1" t="s">
        <v>158</v>
      </c>
      <c r="C97">
        <v>1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 t="b">
        <f>OR(methods_included__2[[#This Row],[MDS]],methods_included__2[[#This Row],[PCA]],methods_included__2[[#This Row],[Dimensionality reduction]])</f>
        <v>0</v>
      </c>
    </row>
    <row r="98" spans="1:10" x14ac:dyDescent="0.25">
      <c r="A98" s="1" t="s">
        <v>100</v>
      </c>
      <c r="B98" s="1" t="s">
        <v>159</v>
      </c>
      <c r="C98">
        <v>0</v>
      </c>
      <c r="D98">
        <v>0</v>
      </c>
      <c r="E98">
        <v>1</v>
      </c>
      <c r="F98">
        <v>0</v>
      </c>
      <c r="G98">
        <v>0</v>
      </c>
      <c r="H98">
        <v>0</v>
      </c>
      <c r="I98">
        <v>0</v>
      </c>
      <c r="J98" t="b">
        <f>OR(methods_included__2[[#This Row],[MDS]],methods_included__2[[#This Row],[PCA]],methods_included__2[[#This Row],[Dimensionality reduction]])</f>
        <v>1</v>
      </c>
    </row>
    <row r="99" spans="1:10" x14ac:dyDescent="0.25">
      <c r="A99" s="1" t="s">
        <v>101</v>
      </c>
      <c r="B99" s="1" t="s">
        <v>2</v>
      </c>
      <c r="C99">
        <v>0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 t="b">
        <f>OR(methods_included__2[[#This Row],[MDS]],methods_included__2[[#This Row],[PCA]],methods_included__2[[#This Row],[Dimensionality reduction]])</f>
        <v>0</v>
      </c>
    </row>
    <row r="100" spans="1:10" x14ac:dyDescent="0.25">
      <c r="A100" s="1" t="s">
        <v>102</v>
      </c>
      <c r="B100" s="1" t="s">
        <v>2</v>
      </c>
      <c r="C100">
        <v>0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 t="b">
        <f>OR(methods_included__2[[#This Row],[MDS]],methods_included__2[[#This Row],[PCA]],methods_included__2[[#This Row],[Dimensionality reduction]])</f>
        <v>0</v>
      </c>
    </row>
    <row r="101" spans="1:10" x14ac:dyDescent="0.25">
      <c r="A101" s="1" t="s">
        <v>103</v>
      </c>
      <c r="B101" s="1" t="s">
        <v>2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 t="b">
        <f>OR(methods_included__2[[#This Row],[MDS]],methods_included__2[[#This Row],[PCA]],methods_included__2[[#This Row],[Dimensionality reduction]])</f>
        <v>0</v>
      </c>
    </row>
    <row r="102" spans="1:10" x14ac:dyDescent="0.25">
      <c r="A102" s="1" t="s">
        <v>104</v>
      </c>
      <c r="B102" s="1" t="s">
        <v>2</v>
      </c>
      <c r="C102">
        <v>0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 t="b">
        <f>OR(methods_included__2[[#This Row],[MDS]],methods_included__2[[#This Row],[PCA]],methods_included__2[[#This Row],[Dimensionality reduction]])</f>
        <v>0</v>
      </c>
    </row>
    <row r="103" spans="1:10" x14ac:dyDescent="0.25">
      <c r="A103" s="1" t="s">
        <v>105</v>
      </c>
      <c r="B103" s="1" t="s">
        <v>160</v>
      </c>
      <c r="C103">
        <v>0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 t="b">
        <f>OR(methods_included__2[[#This Row],[MDS]],methods_included__2[[#This Row],[PCA]],methods_included__2[[#This Row],[Dimensionality reduction]])</f>
        <v>0</v>
      </c>
    </row>
    <row r="104" spans="1:10" x14ac:dyDescent="0.25">
      <c r="A104" s="1" t="s">
        <v>106</v>
      </c>
      <c r="B104" s="1" t="s">
        <v>2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 t="b">
        <f>OR(methods_included__2[[#This Row],[MDS]],methods_included__2[[#This Row],[PCA]],methods_included__2[[#This Row],[Dimensionality reduction]])</f>
        <v>0</v>
      </c>
    </row>
    <row r="105" spans="1:10" x14ac:dyDescent="0.25">
      <c r="A105" s="1" t="s">
        <v>107</v>
      </c>
      <c r="B105" s="1" t="s">
        <v>161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b">
        <f>OR(methods_included__2[[#This Row],[MDS]],methods_included__2[[#This Row],[PCA]],methods_included__2[[#This Row],[Dimensionality reduction]])</f>
        <v>0</v>
      </c>
    </row>
    <row r="106" spans="1:10" x14ac:dyDescent="0.25">
      <c r="A106" s="1" t="s">
        <v>108</v>
      </c>
      <c r="B106" s="1" t="s">
        <v>162</v>
      </c>
      <c r="C106">
        <v>0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 t="b">
        <f>OR(methods_included__2[[#This Row],[MDS]],methods_included__2[[#This Row],[PCA]],methods_included__2[[#This Row],[Dimensionality reduction]])</f>
        <v>0</v>
      </c>
    </row>
    <row r="107" spans="1:10" x14ac:dyDescent="0.25">
      <c r="A107" s="1" t="s">
        <v>109</v>
      </c>
      <c r="B107" s="1" t="s">
        <v>163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 t="b">
        <f>OR(methods_included__2[[#This Row],[MDS]],methods_included__2[[#This Row],[PCA]],methods_included__2[[#This Row],[Dimensionality reduction]])</f>
        <v>0</v>
      </c>
    </row>
    <row r="108" spans="1:10" x14ac:dyDescent="0.25">
      <c r="A108" s="1"/>
      <c r="B108" s="1"/>
      <c r="C108">
        <f>SUM(methods_included__2[clustering])</f>
        <v>34</v>
      </c>
      <c r="D108">
        <f>SUM(methods_included__2[DFA])</f>
        <v>66</v>
      </c>
      <c r="E108">
        <f>SUM(methods_included__2[MDS])</f>
        <v>9</v>
      </c>
      <c r="F108">
        <f>SUM(methods_included__2[PCA])</f>
        <v>24</v>
      </c>
      <c r="G108">
        <f>SUM(methods_included__2[Classifier])</f>
        <v>3</v>
      </c>
      <c r="H108">
        <f>SUM(methods_included__2[Dimensionality reduction])</f>
        <v>7</v>
      </c>
      <c r="I108">
        <f>SUM(methods_included__2[Neural Network])</f>
        <v>6</v>
      </c>
      <c r="J108">
        <f>COUNTIF(methods_included__2[Column1], TRUE)</f>
        <v>36</v>
      </c>
    </row>
    <row r="109" spans="1:10" x14ac:dyDescent="0.25">
      <c r="C109">
        <f>methods_included__2[[#Totals],[clustering]]/107</f>
        <v>0.31775700934579437</v>
      </c>
      <c r="D109">
        <f>methods_included__2[[#Totals],[DFA]]/107</f>
        <v>0.61682242990654201</v>
      </c>
      <c r="E109">
        <f>methods_included__2[[#Totals],[MDS]]/107</f>
        <v>8.4112149532710276E-2</v>
      </c>
      <c r="F109">
        <f>methods_included__2[[#Totals],[PCA]]/107</f>
        <v>0.22429906542056074</v>
      </c>
      <c r="G109">
        <f>methods_included__2[[#Totals],[Classifier]]/107</f>
        <v>2.8037383177570093E-2</v>
      </c>
      <c r="H109">
        <f>methods_included__2[[#Totals],[Dimensionality reduction]]/107</f>
        <v>6.5420560747663545E-2</v>
      </c>
      <c r="I109">
        <f>methods_included__2[[#Totals],[Neural Network]]/107</f>
        <v>5.6074766355140186E-2</v>
      </c>
      <c r="J109">
        <f>methods_included__2[[#Totals],[Column1]]/107</f>
        <v>0.3364485981308411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E20F8-8B9C-479D-ADD2-A611DADCD5CD}">
  <dimension ref="A1:D107"/>
  <sheetViews>
    <sheetView workbookViewId="0"/>
  </sheetViews>
  <sheetFormatPr defaultRowHeight="15" x14ac:dyDescent="0.25"/>
  <cols>
    <col min="1" max="1" width="16.7109375" bestFit="1" customWidth="1"/>
    <col min="2" max="2" width="12.28515625" bestFit="1" customWidth="1"/>
    <col min="3" max="3" width="6.85546875" bestFit="1" customWidth="1"/>
    <col min="4" max="4" width="7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>
        <v>0</v>
      </c>
      <c r="C2">
        <v>1</v>
      </c>
      <c r="D2">
        <v>0</v>
      </c>
    </row>
    <row r="3" spans="1:4" x14ac:dyDescent="0.25">
      <c r="A3" s="1" t="s">
        <v>5</v>
      </c>
      <c r="B3">
        <v>1</v>
      </c>
      <c r="C3">
        <v>0</v>
      </c>
      <c r="D3">
        <v>0</v>
      </c>
    </row>
    <row r="4" spans="1:4" x14ac:dyDescent="0.25">
      <c r="A4" s="1" t="s">
        <v>6</v>
      </c>
      <c r="B4">
        <v>0</v>
      </c>
      <c r="C4">
        <v>1</v>
      </c>
      <c r="D4">
        <v>0</v>
      </c>
    </row>
    <row r="5" spans="1:4" x14ac:dyDescent="0.25">
      <c r="A5" s="1" t="s">
        <v>7</v>
      </c>
      <c r="B5">
        <v>0</v>
      </c>
      <c r="C5">
        <v>1</v>
      </c>
      <c r="D5">
        <v>0</v>
      </c>
    </row>
    <row r="6" spans="1:4" x14ac:dyDescent="0.25">
      <c r="A6" s="1" t="s">
        <v>8</v>
      </c>
      <c r="B6">
        <v>0</v>
      </c>
      <c r="C6">
        <v>1</v>
      </c>
      <c r="D6">
        <v>0</v>
      </c>
    </row>
    <row r="7" spans="1:4" x14ac:dyDescent="0.25">
      <c r="A7" s="1" t="s">
        <v>9</v>
      </c>
      <c r="B7">
        <v>0</v>
      </c>
      <c r="C7">
        <v>1</v>
      </c>
      <c r="D7">
        <v>0</v>
      </c>
    </row>
    <row r="8" spans="1:4" x14ac:dyDescent="0.25">
      <c r="A8" s="1" t="s">
        <v>10</v>
      </c>
      <c r="B8">
        <v>0</v>
      </c>
      <c r="C8">
        <v>1</v>
      </c>
      <c r="D8">
        <v>0</v>
      </c>
    </row>
    <row r="9" spans="1:4" x14ac:dyDescent="0.25">
      <c r="A9" s="1" t="s">
        <v>11</v>
      </c>
      <c r="B9">
        <v>0</v>
      </c>
      <c r="C9">
        <v>1</v>
      </c>
      <c r="D9">
        <v>0</v>
      </c>
    </row>
    <row r="10" spans="1:4" x14ac:dyDescent="0.25">
      <c r="A10" s="1" t="s">
        <v>12</v>
      </c>
      <c r="B10">
        <v>0</v>
      </c>
      <c r="C10">
        <v>1</v>
      </c>
      <c r="D10">
        <v>0</v>
      </c>
    </row>
    <row r="11" spans="1:4" x14ac:dyDescent="0.25">
      <c r="A11" s="1" t="s">
        <v>13</v>
      </c>
      <c r="B11">
        <v>0</v>
      </c>
      <c r="C11">
        <v>1</v>
      </c>
      <c r="D11">
        <v>0</v>
      </c>
    </row>
    <row r="12" spans="1:4" x14ac:dyDescent="0.25">
      <c r="A12" s="1" t="s">
        <v>14</v>
      </c>
      <c r="B12">
        <v>0</v>
      </c>
      <c r="C12">
        <v>1</v>
      </c>
      <c r="D12">
        <v>0</v>
      </c>
    </row>
    <row r="13" spans="1:4" x14ac:dyDescent="0.25">
      <c r="A13" s="1" t="s">
        <v>15</v>
      </c>
      <c r="B13">
        <v>0</v>
      </c>
      <c r="C13">
        <v>1</v>
      </c>
      <c r="D13">
        <v>0</v>
      </c>
    </row>
    <row r="14" spans="1:4" x14ac:dyDescent="0.25">
      <c r="A14" s="1" t="s">
        <v>16</v>
      </c>
      <c r="B14">
        <v>1</v>
      </c>
      <c r="C14">
        <v>1</v>
      </c>
      <c r="D14">
        <v>0</v>
      </c>
    </row>
    <row r="15" spans="1:4" x14ac:dyDescent="0.25">
      <c r="A15" s="1" t="s">
        <v>17</v>
      </c>
      <c r="B15">
        <v>1</v>
      </c>
      <c r="C15">
        <v>1</v>
      </c>
      <c r="D15">
        <v>0</v>
      </c>
    </row>
    <row r="16" spans="1:4" x14ac:dyDescent="0.25">
      <c r="A16" s="1" t="s">
        <v>18</v>
      </c>
      <c r="B16">
        <v>1</v>
      </c>
      <c r="C16">
        <v>1</v>
      </c>
      <c r="D16">
        <v>0</v>
      </c>
    </row>
    <row r="17" spans="1:4" x14ac:dyDescent="0.25">
      <c r="A17" s="1" t="s">
        <v>19</v>
      </c>
      <c r="B17">
        <v>1</v>
      </c>
      <c r="C17">
        <v>1</v>
      </c>
      <c r="D17">
        <v>0</v>
      </c>
    </row>
    <row r="18" spans="1:4" x14ac:dyDescent="0.25">
      <c r="A18" s="1" t="s">
        <v>20</v>
      </c>
      <c r="B18">
        <v>0</v>
      </c>
      <c r="C18">
        <v>1</v>
      </c>
      <c r="D18">
        <v>0</v>
      </c>
    </row>
    <row r="19" spans="1:4" x14ac:dyDescent="0.25">
      <c r="A19" s="1" t="s">
        <v>21</v>
      </c>
      <c r="B19">
        <v>0</v>
      </c>
      <c r="C19">
        <v>1</v>
      </c>
      <c r="D19">
        <v>0</v>
      </c>
    </row>
    <row r="20" spans="1:4" x14ac:dyDescent="0.25">
      <c r="A20" s="1" t="s">
        <v>22</v>
      </c>
      <c r="B20">
        <v>0</v>
      </c>
      <c r="C20">
        <v>1</v>
      </c>
      <c r="D20">
        <v>0</v>
      </c>
    </row>
    <row r="21" spans="1:4" x14ac:dyDescent="0.25">
      <c r="A21" s="1" t="s">
        <v>23</v>
      </c>
      <c r="B21">
        <v>1</v>
      </c>
      <c r="C21">
        <v>1</v>
      </c>
      <c r="D21">
        <v>1</v>
      </c>
    </row>
    <row r="22" spans="1:4" x14ac:dyDescent="0.25">
      <c r="A22" s="1" t="s">
        <v>24</v>
      </c>
      <c r="B22">
        <v>0</v>
      </c>
      <c r="C22">
        <v>1</v>
      </c>
      <c r="D22">
        <v>0</v>
      </c>
    </row>
    <row r="23" spans="1:4" x14ac:dyDescent="0.25">
      <c r="A23" s="1" t="s">
        <v>25</v>
      </c>
      <c r="B23">
        <v>1</v>
      </c>
      <c r="C23">
        <v>0</v>
      </c>
      <c r="D23">
        <v>0</v>
      </c>
    </row>
    <row r="24" spans="1:4" x14ac:dyDescent="0.25">
      <c r="A24" s="1" t="s">
        <v>26</v>
      </c>
      <c r="B24">
        <v>0</v>
      </c>
      <c r="C24">
        <v>0</v>
      </c>
      <c r="D24">
        <v>0</v>
      </c>
    </row>
    <row r="25" spans="1:4" x14ac:dyDescent="0.25">
      <c r="A25" s="1" t="s">
        <v>27</v>
      </c>
      <c r="B25">
        <v>0</v>
      </c>
      <c r="C25">
        <v>1</v>
      </c>
      <c r="D25">
        <v>0</v>
      </c>
    </row>
    <row r="26" spans="1:4" x14ac:dyDescent="0.25">
      <c r="A26" s="1" t="s">
        <v>28</v>
      </c>
      <c r="B26">
        <v>0</v>
      </c>
      <c r="C26">
        <v>1</v>
      </c>
      <c r="D26">
        <v>0</v>
      </c>
    </row>
    <row r="27" spans="1:4" x14ac:dyDescent="0.25">
      <c r="A27" s="1" t="s">
        <v>29</v>
      </c>
      <c r="B27">
        <v>0</v>
      </c>
      <c r="C27">
        <v>1</v>
      </c>
      <c r="D27">
        <v>0</v>
      </c>
    </row>
    <row r="28" spans="1:4" x14ac:dyDescent="0.25">
      <c r="A28" s="1" t="s">
        <v>30</v>
      </c>
      <c r="B28">
        <v>0</v>
      </c>
      <c r="C28">
        <v>0</v>
      </c>
      <c r="D28">
        <v>0</v>
      </c>
    </row>
    <row r="29" spans="1:4" x14ac:dyDescent="0.25">
      <c r="A29" s="1" t="s">
        <v>31</v>
      </c>
      <c r="B29">
        <v>1</v>
      </c>
      <c r="C29">
        <v>0</v>
      </c>
      <c r="D29">
        <v>0</v>
      </c>
    </row>
    <row r="30" spans="1:4" x14ac:dyDescent="0.25">
      <c r="A30" s="1" t="s">
        <v>32</v>
      </c>
      <c r="B30">
        <v>0</v>
      </c>
      <c r="C30">
        <v>1</v>
      </c>
      <c r="D30">
        <v>0</v>
      </c>
    </row>
    <row r="31" spans="1:4" x14ac:dyDescent="0.25">
      <c r="A31" s="1" t="s">
        <v>33</v>
      </c>
      <c r="B31">
        <v>0</v>
      </c>
      <c r="C31">
        <v>1</v>
      </c>
      <c r="D31">
        <v>0</v>
      </c>
    </row>
    <row r="32" spans="1:4" x14ac:dyDescent="0.25">
      <c r="A32" s="1" t="s">
        <v>34</v>
      </c>
      <c r="B32">
        <v>1</v>
      </c>
      <c r="C32">
        <v>1</v>
      </c>
      <c r="D32">
        <v>0</v>
      </c>
    </row>
    <row r="33" spans="1:4" x14ac:dyDescent="0.25">
      <c r="A33" s="1" t="s">
        <v>35</v>
      </c>
      <c r="B33">
        <v>1</v>
      </c>
      <c r="C33">
        <v>1</v>
      </c>
      <c r="D33">
        <v>0</v>
      </c>
    </row>
    <row r="34" spans="1:4" x14ac:dyDescent="0.25">
      <c r="A34" s="1" t="s">
        <v>36</v>
      </c>
      <c r="B34">
        <v>0</v>
      </c>
      <c r="C34">
        <v>1</v>
      </c>
      <c r="D34">
        <v>0</v>
      </c>
    </row>
    <row r="35" spans="1:4" x14ac:dyDescent="0.25">
      <c r="A35" s="1" t="s">
        <v>37</v>
      </c>
      <c r="B35">
        <v>0</v>
      </c>
      <c r="C35">
        <v>1</v>
      </c>
      <c r="D35">
        <v>0</v>
      </c>
    </row>
    <row r="36" spans="1:4" x14ac:dyDescent="0.25">
      <c r="A36" s="1" t="s">
        <v>38</v>
      </c>
      <c r="B36">
        <v>1</v>
      </c>
      <c r="C36">
        <v>0</v>
      </c>
      <c r="D36">
        <v>0</v>
      </c>
    </row>
    <row r="37" spans="1:4" x14ac:dyDescent="0.25">
      <c r="A37" s="1" t="s">
        <v>39</v>
      </c>
      <c r="B37">
        <v>0</v>
      </c>
      <c r="C37">
        <v>1</v>
      </c>
      <c r="D37">
        <v>0</v>
      </c>
    </row>
    <row r="38" spans="1:4" x14ac:dyDescent="0.25">
      <c r="A38" s="1" t="s">
        <v>40</v>
      </c>
      <c r="B38">
        <v>1</v>
      </c>
      <c r="C38">
        <v>0</v>
      </c>
      <c r="D38">
        <v>0</v>
      </c>
    </row>
    <row r="39" spans="1:4" x14ac:dyDescent="0.25">
      <c r="A39" s="1" t="s">
        <v>41</v>
      </c>
      <c r="B39">
        <v>0</v>
      </c>
      <c r="C39">
        <v>0</v>
      </c>
      <c r="D39">
        <v>0</v>
      </c>
    </row>
    <row r="40" spans="1:4" x14ac:dyDescent="0.25">
      <c r="A40" s="1" t="s">
        <v>42</v>
      </c>
      <c r="B40">
        <v>0</v>
      </c>
      <c r="C40">
        <v>1</v>
      </c>
      <c r="D40">
        <v>0</v>
      </c>
    </row>
    <row r="41" spans="1:4" x14ac:dyDescent="0.25">
      <c r="A41" s="1" t="s">
        <v>43</v>
      </c>
      <c r="B41">
        <v>0</v>
      </c>
      <c r="C41">
        <v>1</v>
      </c>
      <c r="D41">
        <v>0</v>
      </c>
    </row>
    <row r="42" spans="1:4" x14ac:dyDescent="0.25">
      <c r="A42" s="1" t="s">
        <v>44</v>
      </c>
      <c r="B42">
        <v>0</v>
      </c>
      <c r="C42">
        <v>0</v>
      </c>
      <c r="D42">
        <v>0</v>
      </c>
    </row>
    <row r="43" spans="1:4" x14ac:dyDescent="0.25">
      <c r="A43" s="1" t="s">
        <v>45</v>
      </c>
      <c r="B43">
        <v>0</v>
      </c>
      <c r="C43">
        <v>1</v>
      </c>
      <c r="D43">
        <v>0</v>
      </c>
    </row>
    <row r="44" spans="1:4" x14ac:dyDescent="0.25">
      <c r="A44" s="1" t="s">
        <v>46</v>
      </c>
      <c r="B44">
        <v>1</v>
      </c>
      <c r="C44">
        <v>0</v>
      </c>
      <c r="D44">
        <v>0</v>
      </c>
    </row>
    <row r="45" spans="1:4" x14ac:dyDescent="0.25">
      <c r="A45" s="1" t="s">
        <v>47</v>
      </c>
      <c r="B45">
        <v>0</v>
      </c>
      <c r="C45">
        <v>0</v>
      </c>
      <c r="D45">
        <v>0</v>
      </c>
    </row>
    <row r="46" spans="1:4" x14ac:dyDescent="0.25">
      <c r="A46" s="1" t="s">
        <v>48</v>
      </c>
      <c r="B46">
        <v>0</v>
      </c>
      <c r="C46">
        <v>1</v>
      </c>
      <c r="D46">
        <v>0</v>
      </c>
    </row>
    <row r="47" spans="1:4" x14ac:dyDescent="0.25">
      <c r="A47" s="1" t="s">
        <v>49</v>
      </c>
      <c r="B47">
        <v>0</v>
      </c>
      <c r="C47">
        <v>0</v>
      </c>
      <c r="D47">
        <v>0</v>
      </c>
    </row>
    <row r="48" spans="1:4" x14ac:dyDescent="0.25">
      <c r="A48" s="1" t="s">
        <v>50</v>
      </c>
      <c r="B48">
        <v>1</v>
      </c>
      <c r="C48">
        <v>0</v>
      </c>
      <c r="D48">
        <v>0</v>
      </c>
    </row>
    <row r="49" spans="1:4" x14ac:dyDescent="0.25">
      <c r="A49" s="1" t="s">
        <v>51</v>
      </c>
      <c r="B49">
        <v>0</v>
      </c>
      <c r="C49">
        <v>1</v>
      </c>
      <c r="D49">
        <v>0</v>
      </c>
    </row>
    <row r="50" spans="1:4" x14ac:dyDescent="0.25">
      <c r="A50" s="1" t="s">
        <v>52</v>
      </c>
      <c r="B50">
        <v>0</v>
      </c>
      <c r="C50">
        <v>1</v>
      </c>
      <c r="D50">
        <v>0</v>
      </c>
    </row>
    <row r="51" spans="1:4" x14ac:dyDescent="0.25">
      <c r="A51" s="1" t="s">
        <v>53</v>
      </c>
      <c r="B51">
        <v>0</v>
      </c>
      <c r="C51">
        <v>1</v>
      </c>
      <c r="D51">
        <v>0</v>
      </c>
    </row>
    <row r="52" spans="1:4" x14ac:dyDescent="0.25">
      <c r="A52" s="1" t="s">
        <v>54</v>
      </c>
      <c r="B52">
        <v>0</v>
      </c>
      <c r="C52">
        <v>0</v>
      </c>
      <c r="D52">
        <v>0</v>
      </c>
    </row>
    <row r="53" spans="1:4" x14ac:dyDescent="0.25">
      <c r="A53" s="1" t="s">
        <v>55</v>
      </c>
      <c r="B53">
        <v>1</v>
      </c>
      <c r="C53">
        <v>1</v>
      </c>
      <c r="D53">
        <v>0</v>
      </c>
    </row>
    <row r="54" spans="1:4" x14ac:dyDescent="0.25">
      <c r="A54" s="1" t="s">
        <v>56</v>
      </c>
      <c r="B54">
        <v>0</v>
      </c>
      <c r="C54">
        <v>1</v>
      </c>
      <c r="D54">
        <v>0</v>
      </c>
    </row>
    <row r="55" spans="1:4" x14ac:dyDescent="0.25">
      <c r="A55" s="1" t="s">
        <v>57</v>
      </c>
      <c r="B55">
        <v>0</v>
      </c>
      <c r="C55">
        <v>0</v>
      </c>
      <c r="D55">
        <v>0</v>
      </c>
    </row>
    <row r="56" spans="1:4" x14ac:dyDescent="0.25">
      <c r="A56" s="1" t="s">
        <v>58</v>
      </c>
      <c r="B56">
        <v>1</v>
      </c>
      <c r="C56">
        <v>1</v>
      </c>
      <c r="D56">
        <v>0</v>
      </c>
    </row>
    <row r="57" spans="1:4" x14ac:dyDescent="0.25">
      <c r="A57" s="1" t="s">
        <v>59</v>
      </c>
      <c r="B57">
        <v>0</v>
      </c>
      <c r="C57">
        <v>1</v>
      </c>
      <c r="D57">
        <v>0</v>
      </c>
    </row>
    <row r="58" spans="1:4" x14ac:dyDescent="0.25">
      <c r="A58" s="1" t="s">
        <v>60</v>
      </c>
      <c r="B58">
        <v>1</v>
      </c>
      <c r="C58">
        <v>1</v>
      </c>
      <c r="D58">
        <v>0</v>
      </c>
    </row>
    <row r="59" spans="1:4" x14ac:dyDescent="0.25">
      <c r="A59" s="1" t="s">
        <v>61</v>
      </c>
      <c r="B59">
        <v>1</v>
      </c>
      <c r="C59">
        <v>0</v>
      </c>
      <c r="D59">
        <v>0</v>
      </c>
    </row>
    <row r="60" spans="1:4" x14ac:dyDescent="0.25">
      <c r="A60" s="1" t="s">
        <v>62</v>
      </c>
      <c r="B60">
        <v>0</v>
      </c>
      <c r="C60">
        <v>0</v>
      </c>
      <c r="D60">
        <v>0</v>
      </c>
    </row>
    <row r="61" spans="1:4" x14ac:dyDescent="0.25">
      <c r="A61" s="1" t="s">
        <v>63</v>
      </c>
      <c r="B61">
        <v>1</v>
      </c>
      <c r="C61">
        <v>0</v>
      </c>
      <c r="D61">
        <v>0</v>
      </c>
    </row>
    <row r="62" spans="1:4" x14ac:dyDescent="0.25">
      <c r="A62" s="1" t="s">
        <v>64</v>
      </c>
      <c r="B62">
        <v>1</v>
      </c>
      <c r="C62">
        <v>0</v>
      </c>
      <c r="D62">
        <v>0</v>
      </c>
    </row>
    <row r="63" spans="1:4" x14ac:dyDescent="0.25">
      <c r="A63" s="1" t="s">
        <v>65</v>
      </c>
      <c r="B63">
        <v>0</v>
      </c>
      <c r="C63">
        <v>0</v>
      </c>
      <c r="D63">
        <v>1</v>
      </c>
    </row>
    <row r="64" spans="1:4" x14ac:dyDescent="0.25">
      <c r="A64" s="1" t="s">
        <v>66</v>
      </c>
      <c r="B64">
        <v>0</v>
      </c>
      <c r="C64">
        <v>1</v>
      </c>
      <c r="D64">
        <v>0</v>
      </c>
    </row>
    <row r="65" spans="1:4" x14ac:dyDescent="0.25">
      <c r="A65" s="1" t="s">
        <v>67</v>
      </c>
      <c r="B65">
        <v>0</v>
      </c>
      <c r="C65">
        <v>1</v>
      </c>
      <c r="D65">
        <v>0</v>
      </c>
    </row>
    <row r="66" spans="1:4" x14ac:dyDescent="0.25">
      <c r="A66" s="1" t="s">
        <v>68</v>
      </c>
      <c r="B66">
        <v>0</v>
      </c>
      <c r="C66">
        <v>0</v>
      </c>
      <c r="D66">
        <v>1</v>
      </c>
    </row>
    <row r="67" spans="1:4" x14ac:dyDescent="0.25">
      <c r="A67" s="1" t="s">
        <v>69</v>
      </c>
      <c r="B67">
        <v>1</v>
      </c>
      <c r="C67">
        <v>0</v>
      </c>
      <c r="D67">
        <v>0</v>
      </c>
    </row>
    <row r="68" spans="1:4" x14ac:dyDescent="0.25">
      <c r="A68" s="1" t="s">
        <v>70</v>
      </c>
      <c r="B68">
        <v>1</v>
      </c>
      <c r="C68">
        <v>0</v>
      </c>
      <c r="D68">
        <v>0</v>
      </c>
    </row>
    <row r="69" spans="1:4" x14ac:dyDescent="0.25">
      <c r="A69" s="1" t="s">
        <v>71</v>
      </c>
      <c r="B69">
        <v>0</v>
      </c>
      <c r="C69">
        <v>0</v>
      </c>
      <c r="D69">
        <v>1</v>
      </c>
    </row>
    <row r="70" spans="1:4" x14ac:dyDescent="0.25">
      <c r="A70" s="1" t="s">
        <v>72</v>
      </c>
      <c r="B70">
        <v>0</v>
      </c>
      <c r="C70">
        <v>0</v>
      </c>
      <c r="D70">
        <v>0</v>
      </c>
    </row>
    <row r="71" spans="1:4" x14ac:dyDescent="0.25">
      <c r="A71" s="1" t="s">
        <v>73</v>
      </c>
      <c r="B71">
        <v>0</v>
      </c>
      <c r="C71">
        <v>0</v>
      </c>
      <c r="D71">
        <v>1</v>
      </c>
    </row>
    <row r="72" spans="1:4" x14ac:dyDescent="0.25">
      <c r="A72" s="1" t="s">
        <v>74</v>
      </c>
      <c r="B72">
        <v>1</v>
      </c>
      <c r="C72">
        <v>0</v>
      </c>
      <c r="D72">
        <v>0</v>
      </c>
    </row>
    <row r="73" spans="1:4" x14ac:dyDescent="0.25">
      <c r="A73" s="1" t="s">
        <v>75</v>
      </c>
      <c r="B73">
        <v>0</v>
      </c>
      <c r="C73">
        <v>1</v>
      </c>
      <c r="D73">
        <v>0</v>
      </c>
    </row>
    <row r="74" spans="1:4" x14ac:dyDescent="0.25">
      <c r="A74" s="1" t="s">
        <v>76</v>
      </c>
      <c r="B74">
        <v>0</v>
      </c>
      <c r="C74">
        <v>1</v>
      </c>
      <c r="D74">
        <v>0</v>
      </c>
    </row>
    <row r="75" spans="1:4" x14ac:dyDescent="0.25">
      <c r="A75" s="1" t="s">
        <v>77</v>
      </c>
      <c r="B75">
        <v>0</v>
      </c>
      <c r="C75">
        <v>1</v>
      </c>
      <c r="D75">
        <v>0</v>
      </c>
    </row>
    <row r="76" spans="1:4" x14ac:dyDescent="0.25">
      <c r="A76" s="1" t="s">
        <v>78</v>
      </c>
      <c r="B76">
        <v>0</v>
      </c>
      <c r="C76">
        <v>1</v>
      </c>
      <c r="D76">
        <v>0</v>
      </c>
    </row>
    <row r="77" spans="1:4" x14ac:dyDescent="0.25">
      <c r="A77" s="1" t="s">
        <v>79</v>
      </c>
      <c r="B77">
        <v>0</v>
      </c>
      <c r="C77">
        <v>1</v>
      </c>
      <c r="D77">
        <v>0</v>
      </c>
    </row>
    <row r="78" spans="1:4" x14ac:dyDescent="0.25">
      <c r="A78" s="1" t="s">
        <v>80</v>
      </c>
      <c r="B78">
        <v>1</v>
      </c>
      <c r="C78">
        <v>1</v>
      </c>
      <c r="D78">
        <v>0</v>
      </c>
    </row>
    <row r="79" spans="1:4" x14ac:dyDescent="0.25">
      <c r="A79" s="1" t="s">
        <v>81</v>
      </c>
      <c r="B79">
        <v>0</v>
      </c>
      <c r="C79">
        <v>1</v>
      </c>
      <c r="D79">
        <v>0</v>
      </c>
    </row>
    <row r="80" spans="1:4" x14ac:dyDescent="0.25">
      <c r="A80" s="1" t="s">
        <v>82</v>
      </c>
      <c r="B80">
        <v>1</v>
      </c>
      <c r="C80">
        <v>1</v>
      </c>
      <c r="D80">
        <v>0</v>
      </c>
    </row>
    <row r="81" spans="1:4" x14ac:dyDescent="0.25">
      <c r="A81" s="1" t="s">
        <v>83</v>
      </c>
      <c r="B81">
        <v>1</v>
      </c>
      <c r="C81">
        <v>0</v>
      </c>
      <c r="D81">
        <v>0</v>
      </c>
    </row>
    <row r="82" spans="1:4" x14ac:dyDescent="0.25">
      <c r="A82" s="1" t="s">
        <v>84</v>
      </c>
      <c r="B82">
        <v>0</v>
      </c>
      <c r="C82">
        <v>1</v>
      </c>
      <c r="D82">
        <v>1</v>
      </c>
    </row>
    <row r="83" spans="1:4" x14ac:dyDescent="0.25">
      <c r="A83" s="1" t="s">
        <v>85</v>
      </c>
      <c r="B83">
        <v>0</v>
      </c>
      <c r="C83">
        <v>0</v>
      </c>
      <c r="D83">
        <v>0</v>
      </c>
    </row>
    <row r="84" spans="1:4" x14ac:dyDescent="0.25">
      <c r="A84" s="1" t="s">
        <v>86</v>
      </c>
      <c r="B84">
        <v>1</v>
      </c>
      <c r="C84">
        <v>0</v>
      </c>
      <c r="D84">
        <v>0</v>
      </c>
    </row>
    <row r="85" spans="1:4" x14ac:dyDescent="0.25">
      <c r="A85" s="1" t="s">
        <v>87</v>
      </c>
      <c r="B85">
        <v>0</v>
      </c>
      <c r="C85">
        <v>0</v>
      </c>
      <c r="D85">
        <v>0</v>
      </c>
    </row>
    <row r="86" spans="1:4" x14ac:dyDescent="0.25">
      <c r="A86" s="1" t="s">
        <v>88</v>
      </c>
      <c r="B86">
        <v>0</v>
      </c>
      <c r="C86">
        <v>1</v>
      </c>
      <c r="D86">
        <v>0</v>
      </c>
    </row>
    <row r="87" spans="1:4" x14ac:dyDescent="0.25">
      <c r="A87" s="1" t="s">
        <v>89</v>
      </c>
      <c r="B87">
        <v>0</v>
      </c>
      <c r="C87">
        <v>0</v>
      </c>
      <c r="D87">
        <v>1</v>
      </c>
    </row>
    <row r="88" spans="1:4" x14ac:dyDescent="0.25">
      <c r="A88" s="1" t="s">
        <v>90</v>
      </c>
      <c r="B88">
        <v>1</v>
      </c>
      <c r="C88">
        <v>0</v>
      </c>
      <c r="D88">
        <v>0</v>
      </c>
    </row>
    <row r="89" spans="1:4" x14ac:dyDescent="0.25">
      <c r="A89" s="1" t="s">
        <v>91</v>
      </c>
      <c r="B89">
        <v>0</v>
      </c>
      <c r="C89">
        <v>0</v>
      </c>
      <c r="D89">
        <v>0</v>
      </c>
    </row>
    <row r="90" spans="1:4" x14ac:dyDescent="0.25">
      <c r="A90" s="1" t="s">
        <v>92</v>
      </c>
      <c r="B90">
        <v>0</v>
      </c>
      <c r="C90">
        <v>1</v>
      </c>
      <c r="D90">
        <v>0</v>
      </c>
    </row>
    <row r="91" spans="1:4" x14ac:dyDescent="0.25">
      <c r="A91" s="1" t="s">
        <v>93</v>
      </c>
      <c r="B91">
        <v>0</v>
      </c>
      <c r="C91">
        <v>0</v>
      </c>
      <c r="D91">
        <v>0</v>
      </c>
    </row>
    <row r="92" spans="1:4" x14ac:dyDescent="0.25">
      <c r="A92" s="1" t="s">
        <v>94</v>
      </c>
      <c r="B92">
        <v>1</v>
      </c>
      <c r="C92">
        <v>0</v>
      </c>
      <c r="D92">
        <v>0</v>
      </c>
    </row>
    <row r="93" spans="1:4" x14ac:dyDescent="0.25">
      <c r="A93" s="1" t="s">
        <v>95</v>
      </c>
      <c r="B93">
        <v>1</v>
      </c>
      <c r="C93">
        <v>0</v>
      </c>
      <c r="D93">
        <v>0</v>
      </c>
    </row>
    <row r="94" spans="1:4" x14ac:dyDescent="0.25">
      <c r="A94" s="1" t="s">
        <v>96</v>
      </c>
      <c r="B94">
        <v>0</v>
      </c>
      <c r="C94">
        <v>1</v>
      </c>
      <c r="D94">
        <v>0</v>
      </c>
    </row>
    <row r="95" spans="1:4" x14ac:dyDescent="0.25">
      <c r="A95" s="1" t="s">
        <v>97</v>
      </c>
      <c r="B95">
        <v>0</v>
      </c>
      <c r="C95">
        <v>1</v>
      </c>
      <c r="D95">
        <v>0</v>
      </c>
    </row>
    <row r="96" spans="1:4" x14ac:dyDescent="0.25">
      <c r="A96" s="1" t="s">
        <v>98</v>
      </c>
      <c r="B96">
        <v>0</v>
      </c>
      <c r="C96">
        <v>1</v>
      </c>
      <c r="D96">
        <v>0</v>
      </c>
    </row>
    <row r="97" spans="1:4" x14ac:dyDescent="0.25">
      <c r="A97" s="1" t="s">
        <v>99</v>
      </c>
      <c r="B97">
        <v>1</v>
      </c>
      <c r="C97">
        <v>1</v>
      </c>
      <c r="D97">
        <v>0</v>
      </c>
    </row>
    <row r="98" spans="1:4" x14ac:dyDescent="0.25">
      <c r="A98" s="1" t="s">
        <v>100</v>
      </c>
      <c r="B98">
        <v>0</v>
      </c>
      <c r="C98">
        <v>0</v>
      </c>
      <c r="D98">
        <v>1</v>
      </c>
    </row>
    <row r="99" spans="1:4" x14ac:dyDescent="0.25">
      <c r="A99" s="1" t="s">
        <v>101</v>
      </c>
      <c r="B99">
        <v>0</v>
      </c>
      <c r="C99">
        <v>1</v>
      </c>
      <c r="D99">
        <v>0</v>
      </c>
    </row>
    <row r="100" spans="1:4" x14ac:dyDescent="0.25">
      <c r="A100" s="1" t="s">
        <v>102</v>
      </c>
      <c r="B100">
        <v>0</v>
      </c>
      <c r="C100">
        <v>1</v>
      </c>
      <c r="D100">
        <v>0</v>
      </c>
    </row>
    <row r="101" spans="1:4" x14ac:dyDescent="0.25">
      <c r="A101" s="1" t="s">
        <v>103</v>
      </c>
      <c r="B101">
        <v>0</v>
      </c>
      <c r="C101">
        <v>1</v>
      </c>
      <c r="D101">
        <v>0</v>
      </c>
    </row>
    <row r="102" spans="1:4" x14ac:dyDescent="0.25">
      <c r="A102" s="1" t="s">
        <v>104</v>
      </c>
      <c r="B102">
        <v>0</v>
      </c>
      <c r="C102">
        <v>1</v>
      </c>
      <c r="D102">
        <v>0</v>
      </c>
    </row>
    <row r="103" spans="1:4" x14ac:dyDescent="0.25">
      <c r="A103" s="1" t="s">
        <v>105</v>
      </c>
      <c r="B103">
        <v>0</v>
      </c>
      <c r="C103">
        <v>1</v>
      </c>
      <c r="D103">
        <v>0</v>
      </c>
    </row>
    <row r="104" spans="1:4" x14ac:dyDescent="0.25">
      <c r="A104" s="1" t="s">
        <v>106</v>
      </c>
      <c r="B104">
        <v>0</v>
      </c>
      <c r="C104">
        <v>1</v>
      </c>
      <c r="D104">
        <v>0</v>
      </c>
    </row>
    <row r="105" spans="1:4" x14ac:dyDescent="0.25">
      <c r="A105" s="1" t="s">
        <v>107</v>
      </c>
      <c r="B105">
        <v>0</v>
      </c>
      <c r="C105">
        <v>0</v>
      </c>
      <c r="D105">
        <v>0</v>
      </c>
    </row>
    <row r="106" spans="1:4" x14ac:dyDescent="0.25">
      <c r="A106" s="1" t="s">
        <v>108</v>
      </c>
      <c r="B106">
        <v>0</v>
      </c>
      <c r="C106">
        <v>1</v>
      </c>
      <c r="D106">
        <v>0</v>
      </c>
    </row>
    <row r="107" spans="1:4" x14ac:dyDescent="0.25">
      <c r="A107" s="1" t="s">
        <v>109</v>
      </c>
      <c r="B107">
        <v>1</v>
      </c>
      <c r="C107">
        <v>0</v>
      </c>
      <c r="D107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ABFF8-F63E-406E-A41E-8178D7CD020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C5985E-1449-44DB-AD39-A7CEA1C901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methods_included (2)</vt:lpstr>
      <vt:lpstr>methods_included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Dori Grijseels</dc:creator>
  <cp:lastModifiedBy>Dori Grijseels</cp:lastModifiedBy>
  <dcterms:created xsi:type="dcterms:W3CDTF">2026-01-29T13:49:15Z</dcterms:created>
  <dcterms:modified xsi:type="dcterms:W3CDTF">2026-01-29T14:31:03Z</dcterms:modified>
</cp:coreProperties>
</file>